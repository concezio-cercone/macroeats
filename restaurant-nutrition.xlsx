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aurant Macros" sheetId="1" state="visible" r:id="rId3"/>
    <sheet name="By Restaurant" sheetId="2" state="visible" r:id="rId4"/>
  </sheets>
  <definedNames>
    <definedName function="false" hidden="true" localSheetId="0" name="_xlnm._FilterDatabase" vbProcedure="false">'Restaurant Macros'!$A$1:$K$228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<sst xmlns="http://schemas.openxmlformats.org/spreadsheetml/2006/main" count="1184" uniqueCount="404">
  <si>
    <t xml:space="preserve">Restaurant</t>
  </si>
  <si>
    <t xml:space="preserve">Item</t>
  </si>
  <si>
    <t xml:space="preserve">Size / Option</t>
  </si>
  <si>
    <t xml:space="preserve">Calories</t>
  </si>
  <si>
    <t xml:space="preserve">Protein (g)</t>
  </si>
  <si>
    <t xml:space="preserve">Carbs (g)</t>
  </si>
  <si>
    <t xml:space="preserve">Fat (g)</t>
  </si>
  <si>
    <t xml:space="preserve">Price ($)</t>
  </si>
  <si>
    <t xml:space="preserve">Category</t>
  </si>
  <si>
    <t xml:space="preserve">Notes / Source</t>
  </si>
  <si>
    <t xml:space="preserve">Protein / 100 cal</t>
  </si>
  <si>
    <t xml:space="preserve">Baja Fresh</t>
  </si>
  <si>
    <t xml:space="preserve">Charbroiled Chicken Burrito Ultimo</t>
  </si>
  <si>
    <t xml:space="preserve">standard</t>
  </si>
  <si>
    <t xml:space="preserve">Mexican</t>
  </si>
  <si>
    <t xml:space="preserve">Official</t>
  </si>
  <si>
    <t xml:space="preserve">Chicken Baja Bowl</t>
  </si>
  <si>
    <t xml:space="preserve">no tortilla</t>
  </si>
  <si>
    <t xml:space="preserve">Official high-protein</t>
  </si>
  <si>
    <t xml:space="preserve">Chicken Tacos (Baja Style)</t>
  </si>
  <si>
    <t xml:space="preserve">2 tacos</t>
  </si>
  <si>
    <t xml:space="preserve">Baskin-Robbins</t>
  </si>
  <si>
    <t xml:space="preserve">Chocolate Ice Cream</t>
  </si>
  <si>
    <t xml:space="preserve">regular scoop</t>
  </si>
  <si>
    <t xml:space="preserve">Dessert</t>
  </si>
  <si>
    <t xml:space="preserve">Mint Chocolate Chip</t>
  </si>
  <si>
    <t xml:space="preserve">Pralines 'n Cream</t>
  </si>
  <si>
    <t xml:space="preserve">Burger King</t>
  </si>
  <si>
    <t xml:space="preserve">Bacon King</t>
  </si>
  <si>
    <t xml:space="preserve">double</t>
  </si>
  <si>
    <t xml:space="preserve">Burgers</t>
  </si>
  <si>
    <t xml:space="preserve">Grilled Chicken Sandwich</t>
  </si>
  <si>
    <t xml:space="preserve">classic</t>
  </si>
  <si>
    <t xml:space="preserve">Impossible Whopper</t>
  </si>
  <si>
    <t xml:space="preserve">plant-based</t>
  </si>
  <si>
    <t xml:space="preserve">Official vegetarian</t>
  </si>
  <si>
    <t xml:space="preserve">Whopper</t>
  </si>
  <si>
    <t xml:space="preserve">Whopper Jr</t>
  </si>
  <si>
    <t xml:space="preserve">single</t>
  </si>
  <si>
    <t xml:space="preserve">CAVA</t>
  </si>
  <si>
    <t xml:space="preserve">Grain Bowl, Braised Lamb</t>
  </si>
  <si>
    <t xml:space="preserve">Mediterranean</t>
  </si>
  <si>
    <t xml:space="preserve">Greens + Grains, Grilled Chicken</t>
  </si>
  <si>
    <t xml:space="preserve">harissa, feta</t>
  </si>
  <si>
    <t xml:space="preserve">RightRice Bowl, Harissa Chicken</t>
  </si>
  <si>
    <t xml:space="preserve">low-carb base</t>
  </si>
  <si>
    <t xml:space="preserve">California Fish Grill</t>
  </si>
  <si>
    <t xml:space="preserve">Grilled Salmon Bowl</t>
  </si>
  <si>
    <t xml:space="preserve">with rice &amp; veg</t>
  </si>
  <si>
    <t xml:space="preserve">Seafood</t>
  </si>
  <si>
    <t xml:space="preserve">Grilled Shrimp Plate</t>
  </si>
  <si>
    <t xml:space="preserve">with 2 sides</t>
  </si>
  <si>
    <t xml:space="preserve">Mahi Mahi Bowl</t>
  </si>
  <si>
    <t xml:space="preserve">with rice</t>
  </si>
  <si>
    <t xml:space="preserve">Carl's Jr</t>
  </si>
  <si>
    <t xml:space="preserve">Big Carl</t>
  </si>
  <si>
    <t xml:space="preserve">Charbroiled BBQ Chicken Sandwich</t>
  </si>
  <si>
    <t xml:space="preserve">Official high-protein lower-fat</t>
  </si>
  <si>
    <t xml:space="preserve">Charbroiled Chicken Club</t>
  </si>
  <si>
    <t xml:space="preserve">Famous Star w/ Cheese</t>
  </si>
  <si>
    <t xml:space="preserve">Western Bacon Cheeseburger</t>
  </si>
  <si>
    <t xml:space="preserve">Chick-fil-A</t>
  </si>
  <si>
    <t xml:space="preserve">Chick-fil-A Deluxe (fried)</t>
  </si>
  <si>
    <t xml:space="preserve">Chicken</t>
  </si>
  <si>
    <t xml:space="preserve">Cobb Salad w/ Grilled Chicken</t>
  </si>
  <si>
    <t xml:space="preserve">no dressing</t>
  </si>
  <si>
    <t xml:space="preserve">multigrain bun</t>
  </si>
  <si>
    <t xml:space="preserve">Grilled Nuggets</t>
  </si>
  <si>
    <t xml:space="preserve">12 count</t>
  </si>
  <si>
    <t xml:space="preserve">Market Salad w/ Grilled Chicken</t>
  </si>
  <si>
    <t xml:space="preserve">Nuggets (fried)</t>
  </si>
  <si>
    <t xml:space="preserve">Spicy Chicken Sandwich</t>
  </si>
  <si>
    <t xml:space="preserve">Chipotle</t>
  </si>
  <si>
    <t xml:space="preserve">BOWL: Chicken + White Rice + Black Beans + Salsa + Cheese</t>
  </si>
  <si>
    <t xml:space="preserve">standard build</t>
  </si>
  <si>
    <t xml:space="preserve">Sum of components (official)</t>
  </si>
  <si>
    <t xml:space="preserve">BOWL: Double Chicken + Fajita + Salsa + Lettuce</t>
  </si>
  <si>
    <t xml:space="preserve">high-protein low-cal</t>
  </si>
  <si>
    <t xml:space="preserve">Sum (official), 64g+ protein</t>
  </si>
  <si>
    <t xml:space="preserve">BURRITO: Steak + Rice + Pinto + Cheese + Guac</t>
  </si>
  <si>
    <t xml:space="preserve">standard burrito</t>
  </si>
  <si>
    <t xml:space="preserve">Barbacoa</t>
  </si>
  <si>
    <t xml:space="preserve">PROTEIN (4oz)</t>
  </si>
  <si>
    <t xml:space="preserve">Official PDF</t>
  </si>
  <si>
    <t xml:space="preserve">Black Beans</t>
  </si>
  <si>
    <t xml:space="preserve">BASE</t>
  </si>
  <si>
    <t xml:space="preserve">Official PDF, +fiber</t>
  </si>
  <si>
    <t xml:space="preserve">Brown Rice</t>
  </si>
  <si>
    <t xml:space="preserve">Carne Asada</t>
  </si>
  <si>
    <t xml:space="preserve">Carnitas</t>
  </si>
  <si>
    <t xml:space="preserve">Cheese</t>
  </si>
  <si>
    <t xml:space="preserve">TOPPING</t>
  </si>
  <si>
    <t xml:space="preserve">Official PDF, best protein/cal</t>
  </si>
  <si>
    <t xml:space="preserve">Chips</t>
  </si>
  <si>
    <t xml:space="preserve">SIDE</t>
  </si>
  <si>
    <t xml:space="preserve">Crispy Taco Shells (3)</t>
  </si>
  <si>
    <t xml:space="preserve">WRAPPER</t>
  </si>
  <si>
    <t xml:space="preserve">Fajita Veggies</t>
  </si>
  <si>
    <t xml:space="preserve">Flour Tortilla (burrito)</t>
  </si>
  <si>
    <t xml:space="preserve">Official PDF, makes it a burrito</t>
  </si>
  <si>
    <t xml:space="preserve">Fresh Tomato Salsa</t>
  </si>
  <si>
    <t xml:space="preserve">Official PDF, 0-cal flavor</t>
  </si>
  <si>
    <t xml:space="preserve">Guacamole</t>
  </si>
  <si>
    <t xml:space="preserve">Pinto Beans</t>
  </si>
  <si>
    <t xml:space="preserve">Queso Blanco</t>
  </si>
  <si>
    <t xml:space="preserve">Roasted Chili-Corn Salsa</t>
  </si>
  <si>
    <t xml:space="preserve">Romaine Lettuce</t>
  </si>
  <si>
    <t xml:space="preserve">Sofritas (vegan)</t>
  </si>
  <si>
    <t xml:space="preserve">Official PDF vegan</t>
  </si>
  <si>
    <t xml:space="preserve">Sour Cream</t>
  </si>
  <si>
    <t xml:space="preserve">Steak</t>
  </si>
  <si>
    <t xml:space="preserve">Official PDF, leanest</t>
  </si>
  <si>
    <t xml:space="preserve">Supergreens Mix</t>
  </si>
  <si>
    <t xml:space="preserve">Tomatillo-Green Chili Salsa</t>
  </si>
  <si>
    <t xml:space="preserve">Tomatillo-Red Chili Salsa</t>
  </si>
  <si>
    <t xml:space="preserve">White Rice</t>
  </si>
  <si>
    <t xml:space="preserve">Cinnabon</t>
  </si>
  <si>
    <t xml:space="preserve">Classic Roll</t>
  </si>
  <si>
    <t xml:space="preserve">MiniBon</t>
  </si>
  <si>
    <t xml:space="preserve">Cold Stone</t>
  </si>
  <si>
    <t xml:space="preserve">Founder's Favorite</t>
  </si>
  <si>
    <t xml:space="preserve">Love It (8oz)</t>
  </si>
  <si>
    <t xml:space="preserve">Sweet Cream Ice Cream</t>
  </si>
  <si>
    <t xml:space="preserve">Like It (5oz)</t>
  </si>
  <si>
    <t xml:space="preserve">Dairy Queen</t>
  </si>
  <si>
    <t xml:space="preserve">Choc Chip Cookie Dough Blizzard</t>
  </si>
  <si>
    <t xml:space="preserve">small</t>
  </si>
  <si>
    <t xml:space="preserve">Oreo Blizzard</t>
  </si>
  <si>
    <t xml:space="preserve">Vanilla Cone</t>
  </si>
  <si>
    <t xml:space="preserve">medium</t>
  </si>
  <si>
    <t xml:space="preserve">Del Taco</t>
  </si>
  <si>
    <t xml:space="preserve">8 Layer Veggie Burrito</t>
  </si>
  <si>
    <t xml:space="preserve">Official PDF vegetarian</t>
  </si>
  <si>
    <t xml:space="preserve">Bacon Double Del Cheeseburger</t>
  </si>
  <si>
    <t xml:space="preserve">Official PDF, max-protein burger</t>
  </si>
  <si>
    <t xml:space="preserve">Bean &amp; Cheese Burrito (Red)</t>
  </si>
  <si>
    <t xml:space="preserve">Beyond Taco (Crunchy)</t>
  </si>
  <si>
    <t xml:space="preserve">Carne Asada Fries</t>
  </si>
  <si>
    <t xml:space="preserve">Carne Asada Taco Del Carbon</t>
  </si>
  <si>
    <t xml:space="preserve">Cheddar Quesadilla</t>
  </si>
  <si>
    <t xml:space="preserve">Chicken Cheddar Quesadilla</t>
  </si>
  <si>
    <t xml:space="preserve">Chicken Taco Del Carbon</t>
  </si>
  <si>
    <t xml:space="preserve">Official PDF, lowest-cal</t>
  </si>
  <si>
    <t xml:space="preserve">Chicken Taco Salad</t>
  </si>
  <si>
    <t xml:space="preserve">Official PDF, macro-balanced</t>
  </si>
  <si>
    <t xml:space="preserve">Crinkle Cut Fries</t>
  </si>
  <si>
    <t xml:space="preserve">Del Cheeseburger</t>
  </si>
  <si>
    <t xml:space="preserve">Double Del Cheeseburger</t>
  </si>
  <si>
    <t xml:space="preserve">Epic Grilled Chicken Guac Burrito</t>
  </si>
  <si>
    <t xml:space="preserve">Official PDF high-protein</t>
  </si>
  <si>
    <t xml:space="preserve">Epic Grilled Chicken Loaded Queso Burrito</t>
  </si>
  <si>
    <t xml:space="preserve">Queso Loaded Nachos w/ Beef</t>
  </si>
  <si>
    <t xml:space="preserve">Official PDF shareable</t>
  </si>
  <si>
    <t xml:space="preserve">Dunkin'</t>
  </si>
  <si>
    <t xml:space="preserve">Boston Kreme Donut</t>
  </si>
  <si>
    <t xml:space="preserve">1 donut</t>
  </si>
  <si>
    <t xml:space="preserve">Glazed Donut</t>
  </si>
  <si>
    <t xml:space="preserve">El Pollo Loco</t>
  </si>
  <si>
    <t xml:space="preserve">BRC Burrito (bean rice cheese)</t>
  </si>
  <si>
    <t xml:space="preserve">Chicken Avocado Overstuffed Quesadilla</t>
  </si>
  <si>
    <t xml:space="preserve">Chicken Avocado Tacos (2)</t>
  </si>
  <si>
    <t xml:space="preserve">Chicken Avocado Tortilla Wrap</t>
  </si>
  <si>
    <t xml:space="preserve">Chicken Black Bean Bowl</t>
  </si>
  <si>
    <t xml:space="preserve">Chicken Breast</t>
  </si>
  <si>
    <t xml:space="preserve">1 pc, w/ skin</t>
  </si>
  <si>
    <t xml:space="preserve">Chicken Breast (skinless)</t>
  </si>
  <si>
    <t xml:space="preserve">1 pc</t>
  </si>
  <si>
    <t xml:space="preserve">Official PDF, high-protein</t>
  </si>
  <si>
    <t xml:space="preserve">Chicken Guacamole Burrito</t>
  </si>
  <si>
    <t xml:space="preserve">Chicken Leg</t>
  </si>
  <si>
    <t xml:space="preserve">Chicken Tacos al Carbon (3)</t>
  </si>
  <si>
    <t xml:space="preserve">3 tacos</t>
  </si>
  <si>
    <t xml:space="preserve">Chicken Thigh</t>
  </si>
  <si>
    <t xml:space="preserve">Classic Chicken Burrito</t>
  </si>
  <si>
    <t xml:space="preserve">Double Chicken Avocado Salad</t>
  </si>
  <si>
    <t xml:space="preserve">with dressing</t>
  </si>
  <si>
    <t xml:space="preserve">Official PDF, keto-friendly</t>
  </si>
  <si>
    <t xml:space="preserve">Double Chicken Nachos</t>
  </si>
  <si>
    <t xml:space="preserve">Official PDF, shareable</t>
  </si>
  <si>
    <t xml:space="preserve">Original Pollo Bowl - Chicken</t>
  </si>
  <si>
    <t xml:space="preserve">Official PDF, high-protein low-fat</t>
  </si>
  <si>
    <t xml:space="preserve">Fatburger</t>
  </si>
  <si>
    <t xml:space="preserve">Fatburger (Original)</t>
  </si>
  <si>
    <t xml:space="preserve">Kingburger</t>
  </si>
  <si>
    <t xml:space="preserve">Skinny Fries</t>
  </si>
  <si>
    <t xml:space="preserve">regular</t>
  </si>
  <si>
    <t xml:space="preserve">Turkeyburger</t>
  </si>
  <si>
    <t xml:space="preserve">Official leaner</t>
  </si>
  <si>
    <t xml:space="preserve">Five Guys</t>
  </si>
  <si>
    <t xml:space="preserve">Little Bacon Cheeseburger</t>
  </si>
  <si>
    <t xml:space="preserve">Little Cheeseburger</t>
  </si>
  <si>
    <t xml:space="preserve">Little Hamburger</t>
  </si>
  <si>
    <t xml:space="preserve">single patty</t>
  </si>
  <si>
    <t xml:space="preserve">In-N-Out</t>
  </si>
  <si>
    <t xml:space="preserve">3x3</t>
  </si>
  <si>
    <t xml:space="preserve">3 patties 3 cheese</t>
  </si>
  <si>
    <t xml:space="preserve">Official secret menu</t>
  </si>
  <si>
    <t xml:space="preserve">4x4</t>
  </si>
  <si>
    <t xml:space="preserve">4 patties 4 cheese</t>
  </si>
  <si>
    <t xml:space="preserve">Official secret menu, max protein</t>
  </si>
  <si>
    <t xml:space="preserve">Animal Style Fries</t>
  </si>
  <si>
    <t xml:space="preserve">cheese, spread, onion</t>
  </si>
  <si>
    <t xml:space="preserve">Cheeseburger</t>
  </si>
  <si>
    <t xml:space="preserve">mustard &amp; ketchup instead of spread</t>
  </si>
  <si>
    <t xml:space="preserve">Cheeseburger Protein Style</t>
  </si>
  <si>
    <t xml:space="preserve">lettuce wrap</t>
  </si>
  <si>
    <t xml:space="preserve">Official, bunless</t>
  </si>
  <si>
    <t xml:space="preserve">Cheeseburger w/ Onion</t>
  </si>
  <si>
    <t xml:space="preserve">spread</t>
  </si>
  <si>
    <t xml:space="preserve">Chocolate Shake</t>
  </si>
  <si>
    <t xml:space="preserve">15 oz</t>
  </si>
  <si>
    <t xml:space="preserve">Double Meat</t>
  </si>
  <si>
    <t xml:space="preserve">mustard &amp; ketchup, no cheese</t>
  </si>
  <si>
    <t xml:space="preserve">Official, high-protein lower-cal</t>
  </si>
  <si>
    <t xml:space="preserve">Double-Double</t>
  </si>
  <si>
    <t xml:space="preserve">Double-Double Protein Style</t>
  </si>
  <si>
    <t xml:space="preserve">Double-Double w/ Onion</t>
  </si>
  <si>
    <t xml:space="preserve">Flying Dutchman</t>
  </si>
  <si>
    <t xml:space="preserve">2 patties, 2 cheese, no bun</t>
  </si>
  <si>
    <t xml:space="preserve">Official secret menu, low-carb</t>
  </si>
  <si>
    <t xml:space="preserve">French Fries</t>
  </si>
  <si>
    <t xml:space="preserve">Grilled Cheese</t>
  </si>
  <si>
    <t xml:space="preserve">no meat</t>
  </si>
  <si>
    <t xml:space="preserve">Official, vegetarian</t>
  </si>
  <si>
    <t xml:space="preserve">Hamburger</t>
  </si>
  <si>
    <t xml:space="preserve">Official, lower-cal swap</t>
  </si>
  <si>
    <t xml:space="preserve">Hamburger Protein Style</t>
  </si>
  <si>
    <t xml:space="preserve">Hamburger w/ Onion</t>
  </si>
  <si>
    <t xml:space="preserve">Official in-n-out.com</t>
  </si>
  <si>
    <t xml:space="preserve">Strawberry Shake</t>
  </si>
  <si>
    <t xml:space="preserve">Vanilla Shake</t>
  </si>
  <si>
    <t xml:space="preserve">Jack in the Box</t>
  </si>
  <si>
    <t xml:space="preserve">Bacon Ultimate Cheeseburger</t>
  </si>
  <si>
    <t xml:space="preserve">Official, max protein</t>
  </si>
  <si>
    <t xml:space="preserve">Chicken Fajita Pita</t>
  </si>
  <si>
    <t xml:space="preserve">Official, lean/high-protein</t>
  </si>
  <si>
    <t xml:space="preserve">Chicken Strips (4 pc)</t>
  </si>
  <si>
    <t xml:space="preserve">Chicken Teriyaki Bowl</t>
  </si>
  <si>
    <t xml:space="preserve">Asian</t>
  </si>
  <si>
    <t xml:space="preserve">Official low-fat</t>
  </si>
  <si>
    <t xml:space="preserve">Curly Fries</t>
  </si>
  <si>
    <t xml:space="preserve">Grilled Chicken Salad</t>
  </si>
  <si>
    <t xml:space="preserve">Salads</t>
  </si>
  <si>
    <t xml:space="preserve">Official, leanest high-protein</t>
  </si>
  <si>
    <t xml:space="preserve">Jack Wrap - Classic Crispy</t>
  </si>
  <si>
    <t xml:space="preserve">Jr. Bacon Cheeseburger</t>
  </si>
  <si>
    <t xml:space="preserve">Jr. Jumbo Jack</t>
  </si>
  <si>
    <t xml:space="preserve">Jumbo Jack</t>
  </si>
  <si>
    <t xml:space="preserve">Jumbo Jack w/ Cheese</t>
  </si>
  <si>
    <t xml:space="preserve">Sourdough Jack</t>
  </si>
  <si>
    <t xml:space="preserve">Tacos (2)</t>
  </si>
  <si>
    <t xml:space="preserve">2 pack</t>
  </si>
  <si>
    <t xml:space="preserve">Jersey Mike's</t>
  </si>
  <si>
    <t xml:space="preserve">#13 Original Italian</t>
  </si>
  <si>
    <t xml:space="preserve">regular, white</t>
  </si>
  <si>
    <t xml:space="preserve">Sandwiches</t>
  </si>
  <si>
    <t xml:space="preserve">#26 Bacon Ranch Chicken Cheese Steak</t>
  </si>
  <si>
    <t xml:space="preserve">#7 Turkey &amp; Provolone</t>
  </si>
  <si>
    <t xml:space="preserve">regular, white, Mike's Way</t>
  </si>
  <si>
    <t xml:space="preserve">#7 Turkey in a Tub</t>
  </si>
  <si>
    <t xml:space="preserve">no bread</t>
  </si>
  <si>
    <t xml:space="preserve">Official low-carb</t>
  </si>
  <si>
    <t xml:space="preserve">#9 Club Supreme</t>
  </si>
  <si>
    <t xml:space="preserve">KFC</t>
  </si>
  <si>
    <t xml:space="preserve">Chicken Little</t>
  </si>
  <si>
    <t xml:space="preserve">Crispy Colonel Sandwich</t>
  </si>
  <si>
    <t xml:space="preserve">Famous Bowl</t>
  </si>
  <si>
    <t xml:space="preserve">Kentucky Grilled Breast</t>
  </si>
  <si>
    <t xml:space="preserve">1 piece</t>
  </si>
  <si>
    <t xml:space="preserve">Original Recipe Breast</t>
  </si>
  <si>
    <t xml:space="preserve">Krispy Kreme</t>
  </si>
  <si>
    <t xml:space="preserve">Chocolate Iced Glazed</t>
  </si>
  <si>
    <t xml:space="preserve">Original Glazed</t>
  </si>
  <si>
    <t xml:space="preserve">McDonald's</t>
  </si>
  <si>
    <t xml:space="preserve">10pc McNuggets</t>
  </si>
  <si>
    <t xml:space="preserve">Big Mac</t>
  </si>
  <si>
    <t xml:space="preserve">Filet-O-Fish</t>
  </si>
  <si>
    <t xml:space="preserve">McChicken</t>
  </si>
  <si>
    <t xml:space="preserve">McCrispy</t>
  </si>
  <si>
    <t xml:space="preserve">McDouble</t>
  </si>
  <si>
    <t xml:space="preserve">Quarter Pounder w/ Cheese</t>
  </si>
  <si>
    <t xml:space="preserve">Panda Express</t>
  </si>
  <si>
    <t xml:space="preserve">BOWL: Orange Chicken + Chow Mein</t>
  </si>
  <si>
    <t xml:space="preserve">1 entree + side</t>
  </si>
  <si>
    <t xml:space="preserve">Chinese</t>
  </si>
  <si>
    <t xml:space="preserve">BOWL: Teriyaki Chicken + Super Greens</t>
  </si>
  <si>
    <t xml:space="preserve">1 entree + side, lean</t>
  </si>
  <si>
    <t xml:space="preserve">Sum (official), high-protein low-cal</t>
  </si>
  <si>
    <t xml:space="preserve">Beijing Beef</t>
  </si>
  <si>
    <t xml:space="preserve">ENTREE (single)</t>
  </si>
  <si>
    <t xml:space="preserve">Official, high fat/sugar</t>
  </si>
  <si>
    <t xml:space="preserve">Black Pepper Angus Steak</t>
  </si>
  <si>
    <t xml:space="preserve">Black Pepper Chicken</t>
  </si>
  <si>
    <t xml:space="preserve">Broccoli Beef</t>
  </si>
  <si>
    <t xml:space="preserve">Official, lightest entree</t>
  </si>
  <si>
    <t xml:space="preserve">Brown Steamed Rice</t>
  </si>
  <si>
    <t xml:space="preserve">Chicken Egg Roll</t>
  </si>
  <si>
    <t xml:space="preserve">APPETIZER (1 pc)</t>
  </si>
  <si>
    <t xml:space="preserve">Chicken Potsticker</t>
  </si>
  <si>
    <t xml:space="preserve">APPETIZER (3 pc)</t>
  </si>
  <si>
    <t xml:space="preserve">Chow Mein</t>
  </si>
  <si>
    <t xml:space="preserve">Cream Cheese Rangoon</t>
  </si>
  <si>
    <t xml:space="preserve">Eggplant Tofu</t>
  </si>
  <si>
    <t xml:space="preserve">Fried Rice</t>
  </si>
  <si>
    <t xml:space="preserve">Official, highest-cal side</t>
  </si>
  <si>
    <t xml:space="preserve">Grilled Teriyaki Chicken</t>
  </si>
  <si>
    <t xml:space="preserve">Official, highest-protein lowest-cal entree</t>
  </si>
  <si>
    <t xml:space="preserve">Honey Sesame Chicken Breast</t>
  </si>
  <si>
    <t xml:space="preserve">Honey Walnut Shrimp</t>
  </si>
  <si>
    <t xml:space="preserve">Kung Pao Chicken</t>
  </si>
  <si>
    <t xml:space="preserve">Official, contains peanuts</t>
  </si>
  <si>
    <t xml:space="preserve">Mushroom Chicken</t>
  </si>
  <si>
    <t xml:space="preserve">Orange Chicken</t>
  </si>
  <si>
    <t xml:space="preserve">Official, best-seller</t>
  </si>
  <si>
    <t xml:space="preserve">PLATE: Teriyaki Chicken + Broccoli Beef + Fried Rice</t>
  </si>
  <si>
    <t xml:space="preserve">2 entree + side</t>
  </si>
  <si>
    <t xml:space="preserve">ShanghAI Angus Steak</t>
  </si>
  <si>
    <t xml:space="preserve">String Bean Chicken Breast</t>
  </si>
  <si>
    <t xml:space="preserve">Official, lean</t>
  </si>
  <si>
    <t xml:space="preserve">Super Greens</t>
  </si>
  <si>
    <t xml:space="preserve">Official, lean side</t>
  </si>
  <si>
    <t xml:space="preserve">Super Greens (as entree)</t>
  </si>
  <si>
    <t xml:space="preserve">Official, leanest</t>
  </si>
  <si>
    <t xml:space="preserve">Sweetfire Chicken Breast</t>
  </si>
  <si>
    <t xml:space="preserve">White Steamed Rice</t>
  </si>
  <si>
    <t xml:space="preserve">Popeyes</t>
  </si>
  <si>
    <t xml:space="preserve">Blackened Chicken Tenders</t>
  </si>
  <si>
    <t xml:space="preserve">3 pc</t>
  </si>
  <si>
    <t xml:space="preserve">Handcrafted Breast (mild)</t>
  </si>
  <si>
    <t xml:space="preserve">bone-in</t>
  </si>
  <si>
    <t xml:space="preserve">Red Beans &amp; Rice</t>
  </si>
  <si>
    <t xml:space="preserve">Official side</t>
  </si>
  <si>
    <t xml:space="preserve">Raising Cane's</t>
  </si>
  <si>
    <t xml:space="preserve">3 Finger Combo</t>
  </si>
  <si>
    <t xml:space="preserve">3 tenders, fries, toast, slaw</t>
  </si>
  <si>
    <t xml:space="preserve">Box Combo</t>
  </si>
  <si>
    <t xml:space="preserve">4 tenders, fries, toast, slaw</t>
  </si>
  <si>
    <t xml:space="preserve">Chicken Fingers Only</t>
  </si>
  <si>
    <t xml:space="preserve">3 tenders</t>
  </si>
  <si>
    <t xml:space="preserve">Shake Shack</t>
  </si>
  <si>
    <t xml:space="preserve">Chicken Shack</t>
  </si>
  <si>
    <t xml:space="preserve">ShackBurger</t>
  </si>
  <si>
    <t xml:space="preserve">Starbucks</t>
  </si>
  <si>
    <t xml:space="preserve">Bacon Gouda Sandwich</t>
  </si>
  <si>
    <t xml:space="preserve">Breakfast</t>
  </si>
  <si>
    <t xml:space="preserve">Chocolate Croissant</t>
  </si>
  <si>
    <t xml:space="preserve">Grande Caffe Latte</t>
  </si>
  <si>
    <t xml:space="preserve">2% milk</t>
  </si>
  <si>
    <t xml:space="preserve">Coffee</t>
  </si>
  <si>
    <t xml:space="preserve">Grande Pike Place Coffee</t>
  </si>
  <si>
    <t xml:space="preserve">black</t>
  </si>
  <si>
    <t xml:space="preserve">Spinach Feta Wrap</t>
  </si>
  <si>
    <t xml:space="preserve">Turkey Bacon Egg White Sandwich</t>
  </si>
  <si>
    <t xml:space="preserve">Subway</t>
  </si>
  <si>
    <t xml:space="preserve">Oven Roasted Turkey</t>
  </si>
  <si>
    <t xml:space="preserve">6-inch, white, no cheese</t>
  </si>
  <si>
    <t xml:space="preserve">Rotisserie Chicken</t>
  </si>
  <si>
    <t xml:space="preserve">6-inch, white</t>
  </si>
  <si>
    <t xml:space="preserve">Steak &amp; Cheese</t>
  </si>
  <si>
    <t xml:space="preserve">6-inch</t>
  </si>
  <si>
    <t xml:space="preserve">Tuna</t>
  </si>
  <si>
    <t xml:space="preserve">Turkey (footlong)</t>
  </si>
  <si>
    <t xml:space="preserve">white, no cheese</t>
  </si>
  <si>
    <t xml:space="preserve">Sweetgreen</t>
  </si>
  <si>
    <t xml:space="preserve">Chicken Pesto Parm</t>
  </si>
  <si>
    <t xml:space="preserve">Harvest Bowl</t>
  </si>
  <si>
    <t xml:space="preserve">wild rice, chicken, sweet potato</t>
  </si>
  <si>
    <t xml:space="preserve">Shroomami Bowl (vegan)</t>
  </si>
  <si>
    <t xml:space="preserve">Official vegan</t>
  </si>
  <si>
    <t xml:space="preserve">Taco Bell</t>
  </si>
  <si>
    <t xml:space="preserve">Bean Burrito</t>
  </si>
  <si>
    <t xml:space="preserve">Cantina Chicken Bowl</t>
  </si>
  <si>
    <t xml:space="preserve">rice, beans, cheese, guac</t>
  </si>
  <si>
    <t xml:space="preserve">Chicken Chalupa Supreme</t>
  </si>
  <si>
    <t xml:space="preserve">Crunchwrap Supreme</t>
  </si>
  <si>
    <t xml:space="preserve">Crunchy Taco</t>
  </si>
  <si>
    <t xml:space="preserve">Power Menu Bowl - Chicken</t>
  </si>
  <si>
    <t xml:space="preserve">WaBa Grill</t>
  </si>
  <si>
    <t xml:space="preserve">Chicken Plate</t>
  </si>
  <si>
    <t xml:space="preserve">double rice</t>
  </si>
  <si>
    <t xml:space="preserve">Chicken WaBa Bowl</t>
  </si>
  <si>
    <t xml:space="preserve">white rice, veggies</t>
  </si>
  <si>
    <t xml:space="preserve">Official high-protein/low-fat</t>
  </si>
  <si>
    <t xml:space="preserve">Steak Veggie Bowl</t>
  </si>
  <si>
    <t xml:space="preserve">Tofu Veggie Bowl</t>
  </si>
  <si>
    <t xml:space="preserve">Wendy's</t>
  </si>
  <si>
    <t xml:space="preserve">Apple Pecan Salad w/ Grilled Chicken</t>
  </si>
  <si>
    <t xml:space="preserve">full, no dressing</t>
  </si>
  <si>
    <t xml:space="preserve">Baconator</t>
  </si>
  <si>
    <t xml:space="preserve">Official high-protein/cal</t>
  </si>
  <si>
    <t xml:space="preserve">Chili</t>
  </si>
  <si>
    <t xml:space="preserve">large</t>
  </si>
  <si>
    <t xml:space="preserve">Dave's Single</t>
  </si>
  <si>
    <t xml:space="preserve">quarter-pound w/ cheese</t>
  </si>
  <si>
    <t xml:space="preserve">Wingstop</t>
  </si>
  <si>
    <t xml:space="preserve">Boneless Wings (plain)</t>
  </si>
  <si>
    <t xml:space="preserve">6 pc</t>
  </si>
  <si>
    <t xml:space="preserve">Chicken Sandwich</t>
  </si>
  <si>
    <t xml:space="preserve">Classic Wings (plain)</t>
  </si>
  <si>
    <t xml:space="preserve">Official before sauce</t>
  </si>
  <si>
    <t xml:space="preserve"># Items</t>
  </si>
  <si>
    <t xml:space="preserve">Avg Calories</t>
  </si>
  <si>
    <t xml:space="preserve">Avg Protein (g)</t>
  </si>
  <si>
    <t xml:space="preserve">Best Protein/100cal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</si>
</sst>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140F"/>
        <bgColor rgb="FF000000"/>
      </patternFill>
    </fill>
    <fill>
      <patternFill patternType="solid">
        <fgColor rgb="FFF7F4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6140F"/>
          <bgColor rgb="FF000000"/>
        </patternFill>
      </fill>
    </dxf>
    <dxf>
      <fill>
        <patternFill patternType="solid">
          <fgColor rgb="FFF7F4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08080"/>
      <rgbColor rgb="FF9999FF"/>
      <rgbColor rgb="FF993366"/>
      <rgbColor rgb="FFF7F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4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8"/>
    <col collapsed="false" customWidth="true" hidden="false" outlineLevel="0" max="3" min="3" style="1" width="3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15"/>
    <col collapsed="false" customWidth="true" hidden="false" outlineLevel="0" max="10" min="10" style="1" width="40"/>
    <col collapsed="false" customWidth="true" hidden="false" outlineLevel="0" max="11" min="11" style="1" width="14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4" t="s">
        <v>12</v>
      </c>
      <c r="C2" s="4" t="s">
        <v>13</v>
      </c>
      <c r="D2" s="5" t="n">
        <v>790</v>
      </c>
      <c r="E2" s="5" t="n">
        <v>48</v>
      </c>
      <c r="F2" s="5" t="n">
        <v>76</v>
      </c>
      <c r="G2" s="5" t="n">
        <v>31</v>
      </c>
      <c r="H2" s="6" t="n">
        <v>9.49</v>
      </c>
      <c r="I2" s="4" t="s">
        <v>14</v>
      </c>
      <c r="J2" s="4" t="s">
        <v>15</v>
      </c>
      <c r="K2" s="5" t="n">
        <f aca="false">IF(D2=0,0,ROUND(E2/D2*100,1))</f>
        <v>6.1</v>
      </c>
    </row>
    <row r="3" customFormat="false" ht="15" hidden="false" customHeight="true" outlineLevel="0" collapsed="false">
      <c r="A3" s="7" t="s">
        <v>11</v>
      </c>
      <c r="B3" s="8" t="s">
        <v>16</v>
      </c>
      <c r="C3" s="8" t="s">
        <v>17</v>
      </c>
      <c r="D3" s="9" t="n">
        <v>640</v>
      </c>
      <c r="E3" s="9" t="n">
        <v>50</v>
      </c>
      <c r="F3" s="9" t="n">
        <v>68</v>
      </c>
      <c r="G3" s="9" t="n">
        <v>16</v>
      </c>
      <c r="H3" s="10" t="n">
        <v>9.99</v>
      </c>
      <c r="I3" s="8" t="s">
        <v>14</v>
      </c>
      <c r="J3" s="8" t="s">
        <v>18</v>
      </c>
      <c r="K3" s="9" t="n">
        <f aca="false">IF(D3=0,0,ROUND(E3/D3*100,1))</f>
        <v>7.8</v>
      </c>
    </row>
    <row r="4" customFormat="false" ht="15" hidden="false" customHeight="true" outlineLevel="0" collapsed="false">
      <c r="A4" s="3" t="s">
        <v>11</v>
      </c>
      <c r="B4" s="4" t="s">
        <v>19</v>
      </c>
      <c r="C4" s="4" t="s">
        <v>20</v>
      </c>
      <c r="D4" s="5" t="n">
        <v>420</v>
      </c>
      <c r="E4" s="5" t="n">
        <v>28</v>
      </c>
      <c r="F4" s="5" t="n">
        <v>38</v>
      </c>
      <c r="G4" s="5" t="n">
        <v>18</v>
      </c>
      <c r="H4" s="6" t="n">
        <v>7.49</v>
      </c>
      <c r="I4" s="4" t="s">
        <v>14</v>
      </c>
      <c r="J4" s="4" t="s">
        <v>15</v>
      </c>
      <c r="K4" s="5" t="n">
        <f aca="false">IF(D4=0,0,ROUND(E4/D4*100,1))</f>
        <v>6.7</v>
      </c>
    </row>
    <row r="5" customFormat="false" ht="15" hidden="false" customHeight="true" outlineLevel="0" collapsed="false">
      <c r="A5" s="7" t="s">
        <v>21</v>
      </c>
      <c r="B5" s="8" t="s">
        <v>22</v>
      </c>
      <c r="C5" s="8" t="s">
        <v>23</v>
      </c>
      <c r="D5" s="9" t="n">
        <v>260</v>
      </c>
      <c r="E5" s="9" t="n">
        <v>4</v>
      </c>
      <c r="F5" s="9" t="n">
        <v>33</v>
      </c>
      <c r="G5" s="9" t="n">
        <v>13</v>
      </c>
      <c r="H5" s="10" t="n">
        <v>3.99</v>
      </c>
      <c r="I5" s="8" t="s">
        <v>24</v>
      </c>
      <c r="J5" s="8" t="s">
        <v>15</v>
      </c>
      <c r="K5" s="9" t="n">
        <f aca="false">IF(D5=0,0,ROUND(E5/D5*100,1))</f>
        <v>1.5</v>
      </c>
    </row>
    <row r="6" customFormat="false" ht="15" hidden="false" customHeight="true" outlineLevel="0" collapsed="false">
      <c r="A6" s="3" t="s">
        <v>21</v>
      </c>
      <c r="B6" s="4" t="s">
        <v>25</v>
      </c>
      <c r="C6" s="4" t="s">
        <v>23</v>
      </c>
      <c r="D6" s="5" t="n">
        <v>270</v>
      </c>
      <c r="E6" s="5" t="n">
        <v>4</v>
      </c>
      <c r="F6" s="5" t="n">
        <v>30</v>
      </c>
      <c r="G6" s="5" t="n">
        <v>15</v>
      </c>
      <c r="H6" s="6" t="n">
        <v>3.99</v>
      </c>
      <c r="I6" s="4" t="s">
        <v>24</v>
      </c>
      <c r="J6" s="4" t="s">
        <v>15</v>
      </c>
      <c r="K6" s="5" t="n">
        <f aca="false">IF(D6=0,0,ROUND(E6/D6*100,1))</f>
        <v>1.5</v>
      </c>
    </row>
    <row r="7" customFormat="false" ht="15" hidden="false" customHeight="true" outlineLevel="0" collapsed="false">
      <c r="A7" s="7" t="s">
        <v>21</v>
      </c>
      <c r="B7" s="8" t="s">
        <v>26</v>
      </c>
      <c r="C7" s="8" t="s">
        <v>23</v>
      </c>
      <c r="D7" s="9" t="n">
        <v>290</v>
      </c>
      <c r="E7" s="9" t="n">
        <v>4</v>
      </c>
      <c r="F7" s="9" t="n">
        <v>37</v>
      </c>
      <c r="G7" s="9" t="n">
        <v>14</v>
      </c>
      <c r="H7" s="10" t="n">
        <v>3.99</v>
      </c>
      <c r="I7" s="8" t="s">
        <v>24</v>
      </c>
      <c r="J7" s="8" t="s">
        <v>15</v>
      </c>
      <c r="K7" s="9" t="n">
        <f aca="false">IF(D7=0,0,ROUND(E7/D7*100,1))</f>
        <v>1.4</v>
      </c>
    </row>
    <row r="8" customFormat="false" ht="15" hidden="false" customHeight="true" outlineLevel="0" collapsed="false">
      <c r="A8" s="3" t="s">
        <v>27</v>
      </c>
      <c r="B8" s="4" t="s">
        <v>28</v>
      </c>
      <c r="C8" s="4" t="s">
        <v>29</v>
      </c>
      <c r="D8" s="5" t="n">
        <v>1150</v>
      </c>
      <c r="E8" s="5" t="n">
        <v>61</v>
      </c>
      <c r="F8" s="5" t="n">
        <v>49</v>
      </c>
      <c r="G8" s="5" t="n">
        <v>79</v>
      </c>
      <c r="H8" s="6" t="n">
        <v>9.49</v>
      </c>
      <c r="I8" s="4" t="s">
        <v>30</v>
      </c>
      <c r="J8" s="4" t="s">
        <v>15</v>
      </c>
      <c r="K8" s="5" t="n">
        <f aca="false">IF(D8=0,0,ROUND(E8/D8*100,1))</f>
        <v>5.3</v>
      </c>
    </row>
    <row r="9" customFormat="false" ht="15" hidden="false" customHeight="true" outlineLevel="0" collapsed="false">
      <c r="A9" s="7" t="s">
        <v>27</v>
      </c>
      <c r="B9" s="8" t="s">
        <v>31</v>
      </c>
      <c r="C9" s="8" t="s">
        <v>32</v>
      </c>
      <c r="D9" s="9" t="n">
        <v>470</v>
      </c>
      <c r="E9" s="9" t="n">
        <v>37</v>
      </c>
      <c r="F9" s="9" t="n">
        <v>44</v>
      </c>
      <c r="G9" s="9" t="n">
        <v>17</v>
      </c>
      <c r="H9" s="10" t="n">
        <v>7.49</v>
      </c>
      <c r="I9" s="8" t="s">
        <v>30</v>
      </c>
      <c r="J9" s="8" t="s">
        <v>18</v>
      </c>
      <c r="K9" s="9" t="n">
        <f aca="false">IF(D9=0,0,ROUND(E9/D9*100,1))</f>
        <v>7.9</v>
      </c>
    </row>
    <row r="10" customFormat="false" ht="15" hidden="false" customHeight="true" outlineLevel="0" collapsed="false">
      <c r="A10" s="3" t="s">
        <v>27</v>
      </c>
      <c r="B10" s="4" t="s">
        <v>33</v>
      </c>
      <c r="C10" s="4" t="s">
        <v>34</v>
      </c>
      <c r="D10" s="5" t="n">
        <v>630</v>
      </c>
      <c r="E10" s="5" t="n">
        <v>25</v>
      </c>
      <c r="F10" s="5" t="n">
        <v>58</v>
      </c>
      <c r="G10" s="5" t="n">
        <v>34</v>
      </c>
      <c r="H10" s="6" t="n">
        <v>8.29</v>
      </c>
      <c r="I10" s="4" t="s">
        <v>30</v>
      </c>
      <c r="J10" s="4" t="s">
        <v>35</v>
      </c>
      <c r="K10" s="5" t="n">
        <f aca="false">IF(D10=0,0,ROUND(E10/D10*100,1))</f>
        <v>4</v>
      </c>
    </row>
    <row r="11" customFormat="false" ht="15" hidden="false" customHeight="true" outlineLevel="0" collapsed="false">
      <c r="A11" s="7" t="s">
        <v>27</v>
      </c>
      <c r="B11" s="8" t="s">
        <v>36</v>
      </c>
      <c r="C11" s="8" t="s">
        <v>32</v>
      </c>
      <c r="D11" s="9" t="n">
        <v>657</v>
      </c>
      <c r="E11" s="9" t="n">
        <v>28</v>
      </c>
      <c r="F11" s="9" t="n">
        <v>49</v>
      </c>
      <c r="G11" s="9" t="n">
        <v>40</v>
      </c>
      <c r="H11" s="10" t="n">
        <v>7.29</v>
      </c>
      <c r="I11" s="8" t="s">
        <v>30</v>
      </c>
      <c r="J11" s="8" t="s">
        <v>15</v>
      </c>
      <c r="K11" s="9" t="n">
        <f aca="false">IF(D11=0,0,ROUND(E11/D11*100,1))</f>
        <v>4.3</v>
      </c>
    </row>
    <row r="12" customFormat="false" ht="15" hidden="false" customHeight="true" outlineLevel="0" collapsed="false">
      <c r="A12" s="3" t="s">
        <v>27</v>
      </c>
      <c r="B12" s="4" t="s">
        <v>37</v>
      </c>
      <c r="C12" s="4" t="s">
        <v>38</v>
      </c>
      <c r="D12" s="5" t="n">
        <v>310</v>
      </c>
      <c r="E12" s="5" t="n">
        <v>13</v>
      </c>
      <c r="F12" s="5" t="n">
        <v>27</v>
      </c>
      <c r="G12" s="5" t="n">
        <v>18</v>
      </c>
      <c r="H12" s="6" t="n">
        <v>3.49</v>
      </c>
      <c r="I12" s="4" t="s">
        <v>30</v>
      </c>
      <c r="J12" s="4" t="s">
        <v>15</v>
      </c>
      <c r="K12" s="5" t="n">
        <f aca="false">IF(D12=0,0,ROUND(E12/D12*100,1))</f>
        <v>4.2</v>
      </c>
    </row>
    <row r="13" customFormat="false" ht="15" hidden="false" customHeight="true" outlineLevel="0" collapsed="false">
      <c r="A13" s="7" t="s">
        <v>39</v>
      </c>
      <c r="B13" s="8" t="s">
        <v>40</v>
      </c>
      <c r="C13" s="8" t="s">
        <v>13</v>
      </c>
      <c r="D13" s="9" t="n">
        <v>760</v>
      </c>
      <c r="E13" s="9" t="n">
        <v>38</v>
      </c>
      <c r="F13" s="9" t="n">
        <v>58</v>
      </c>
      <c r="G13" s="9" t="n">
        <v>40</v>
      </c>
      <c r="H13" s="10" t="n">
        <v>14.95</v>
      </c>
      <c r="I13" s="8" t="s">
        <v>41</v>
      </c>
      <c r="J13" s="8" t="s">
        <v>15</v>
      </c>
      <c r="K13" s="9" t="n">
        <f aca="false">IF(D13=0,0,ROUND(E13/D13*100,1))</f>
        <v>5</v>
      </c>
    </row>
    <row r="14" customFormat="false" ht="15" hidden="false" customHeight="true" outlineLevel="0" collapsed="false">
      <c r="A14" s="3" t="s">
        <v>39</v>
      </c>
      <c r="B14" s="4" t="s">
        <v>42</v>
      </c>
      <c r="C14" s="4" t="s">
        <v>43</v>
      </c>
      <c r="D14" s="5" t="n">
        <v>640</v>
      </c>
      <c r="E14" s="5" t="n">
        <v>52</v>
      </c>
      <c r="F14" s="5" t="n">
        <v>45</v>
      </c>
      <c r="G14" s="5" t="n">
        <v>26</v>
      </c>
      <c r="H14" s="6" t="n">
        <v>13.45</v>
      </c>
      <c r="I14" s="4" t="s">
        <v>41</v>
      </c>
      <c r="J14" s="4" t="s">
        <v>15</v>
      </c>
      <c r="K14" s="5" t="n">
        <f aca="false">IF(D14=0,0,ROUND(E14/D14*100,1))</f>
        <v>8.1</v>
      </c>
    </row>
    <row r="15" customFormat="false" ht="15" hidden="false" customHeight="true" outlineLevel="0" collapsed="false">
      <c r="A15" s="7" t="s">
        <v>39</v>
      </c>
      <c r="B15" s="8" t="s">
        <v>44</v>
      </c>
      <c r="C15" s="8" t="s">
        <v>45</v>
      </c>
      <c r="D15" s="9" t="n">
        <v>560</v>
      </c>
      <c r="E15" s="9" t="n">
        <v>48</v>
      </c>
      <c r="F15" s="9" t="n">
        <v>40</v>
      </c>
      <c r="G15" s="9" t="n">
        <v>22</v>
      </c>
      <c r="H15" s="10" t="n">
        <v>13.45</v>
      </c>
      <c r="I15" s="8" t="s">
        <v>41</v>
      </c>
      <c r="J15" s="8" t="s">
        <v>18</v>
      </c>
      <c r="K15" s="9" t="n">
        <f aca="false">IF(D15=0,0,ROUND(E15/D15*100,1))</f>
        <v>8.6</v>
      </c>
    </row>
    <row r="16" customFormat="false" ht="15" hidden="false" customHeight="true" outlineLevel="0" collapsed="false">
      <c r="A16" s="3" t="s">
        <v>46</v>
      </c>
      <c r="B16" s="4" t="s">
        <v>47</v>
      </c>
      <c r="C16" s="4" t="s">
        <v>48</v>
      </c>
      <c r="D16" s="5" t="n">
        <v>620</v>
      </c>
      <c r="E16" s="5" t="n">
        <v>42</v>
      </c>
      <c r="F16" s="5" t="n">
        <v>58</v>
      </c>
      <c r="G16" s="5" t="n">
        <v>24</v>
      </c>
      <c r="H16" s="6" t="n">
        <v>13.95</v>
      </c>
      <c r="I16" s="4" t="s">
        <v>49</v>
      </c>
      <c r="J16" s="4" t="s">
        <v>15</v>
      </c>
      <c r="K16" s="5" t="n">
        <f aca="false">IF(D16=0,0,ROUND(E16/D16*100,1))</f>
        <v>6.8</v>
      </c>
    </row>
    <row r="17" customFormat="false" ht="15" hidden="false" customHeight="true" outlineLevel="0" collapsed="false">
      <c r="A17" s="7" t="s">
        <v>46</v>
      </c>
      <c r="B17" s="8" t="s">
        <v>50</v>
      </c>
      <c r="C17" s="8" t="s">
        <v>51</v>
      </c>
      <c r="D17" s="9" t="n">
        <v>480</v>
      </c>
      <c r="E17" s="9" t="n">
        <v>40</v>
      </c>
      <c r="F17" s="9" t="n">
        <v>42</v>
      </c>
      <c r="G17" s="9" t="n">
        <v>18</v>
      </c>
      <c r="H17" s="10" t="n">
        <v>13.45</v>
      </c>
      <c r="I17" s="8" t="s">
        <v>49</v>
      </c>
      <c r="J17" s="8" t="s">
        <v>18</v>
      </c>
      <c r="K17" s="9" t="n">
        <f aca="false">IF(D17=0,0,ROUND(E17/D17*100,1))</f>
        <v>8.3</v>
      </c>
    </row>
    <row r="18" customFormat="false" ht="15" hidden="false" customHeight="true" outlineLevel="0" collapsed="false">
      <c r="A18" s="3" t="s">
        <v>46</v>
      </c>
      <c r="B18" s="4" t="s">
        <v>52</v>
      </c>
      <c r="C18" s="4" t="s">
        <v>53</v>
      </c>
      <c r="D18" s="5" t="n">
        <v>560</v>
      </c>
      <c r="E18" s="5" t="n">
        <v>44</v>
      </c>
      <c r="F18" s="5" t="n">
        <v>60</v>
      </c>
      <c r="G18" s="5" t="n">
        <v>16</v>
      </c>
      <c r="H18" s="6" t="n">
        <v>13.95</v>
      </c>
      <c r="I18" s="4" t="s">
        <v>49</v>
      </c>
      <c r="J18" s="4" t="s">
        <v>15</v>
      </c>
      <c r="K18" s="5" t="n">
        <f aca="false">IF(D18=0,0,ROUND(E18/D18*100,1))</f>
        <v>7.9</v>
      </c>
    </row>
    <row r="19" customFormat="false" ht="15" hidden="false" customHeight="true" outlineLevel="0" collapsed="false">
      <c r="A19" s="7" t="s">
        <v>54</v>
      </c>
      <c r="B19" s="8" t="s">
        <v>55</v>
      </c>
      <c r="C19" s="8" t="s">
        <v>29</v>
      </c>
      <c r="D19" s="9" t="n">
        <v>780</v>
      </c>
      <c r="E19" s="9" t="n">
        <v>32</v>
      </c>
      <c r="F19" s="9" t="n">
        <v>52</v>
      </c>
      <c r="G19" s="9" t="n">
        <v>49</v>
      </c>
      <c r="H19" s="10" t="n">
        <v>6.99</v>
      </c>
      <c r="I19" s="8" t="s">
        <v>30</v>
      </c>
      <c r="J19" s="8" t="s">
        <v>15</v>
      </c>
      <c r="K19" s="9" t="n">
        <f aca="false">IF(D19=0,0,ROUND(E19/D19*100,1))</f>
        <v>4.1</v>
      </c>
    </row>
    <row r="20" customFormat="false" ht="15" hidden="false" customHeight="true" outlineLevel="0" collapsed="false">
      <c r="A20" s="3" t="s">
        <v>54</v>
      </c>
      <c r="B20" s="4" t="s">
        <v>56</v>
      </c>
      <c r="C20" s="4" t="s">
        <v>13</v>
      </c>
      <c r="D20" s="5" t="n">
        <v>380</v>
      </c>
      <c r="E20" s="5" t="n">
        <v>34</v>
      </c>
      <c r="F20" s="5" t="n">
        <v>48</v>
      </c>
      <c r="G20" s="5" t="n">
        <v>7</v>
      </c>
      <c r="H20" s="6" t="n">
        <v>6.99</v>
      </c>
      <c r="I20" s="4" t="s">
        <v>30</v>
      </c>
      <c r="J20" s="4" t="s">
        <v>57</v>
      </c>
      <c r="K20" s="5" t="n">
        <f aca="false">IF(D20=0,0,ROUND(E20/D20*100,1))</f>
        <v>8.9</v>
      </c>
    </row>
    <row r="21" customFormat="false" ht="15" hidden="false" customHeight="true" outlineLevel="0" collapsed="false">
      <c r="A21" s="7" t="s">
        <v>54</v>
      </c>
      <c r="B21" s="8" t="s">
        <v>58</v>
      </c>
      <c r="C21" s="8" t="s">
        <v>13</v>
      </c>
      <c r="D21" s="9" t="n">
        <v>520</v>
      </c>
      <c r="E21" s="9" t="n">
        <v>36</v>
      </c>
      <c r="F21" s="9" t="n">
        <v>49</v>
      </c>
      <c r="G21" s="9" t="n">
        <v>21</v>
      </c>
      <c r="H21" s="10" t="n">
        <v>7.49</v>
      </c>
      <c r="I21" s="8" t="s">
        <v>30</v>
      </c>
      <c r="J21" s="8" t="s">
        <v>15</v>
      </c>
      <c r="K21" s="9" t="n">
        <f aca="false">IF(D21=0,0,ROUND(E21/D21*100,1))</f>
        <v>6.9</v>
      </c>
    </row>
    <row r="22" customFormat="false" ht="15" hidden="false" customHeight="true" outlineLevel="0" collapsed="false">
      <c r="A22" s="3" t="s">
        <v>54</v>
      </c>
      <c r="B22" s="4" t="s">
        <v>59</v>
      </c>
      <c r="C22" s="4" t="s">
        <v>32</v>
      </c>
      <c r="D22" s="5" t="n">
        <v>670</v>
      </c>
      <c r="E22" s="5" t="n">
        <v>25</v>
      </c>
      <c r="F22" s="5" t="n">
        <v>52</v>
      </c>
      <c r="G22" s="5" t="n">
        <v>40</v>
      </c>
      <c r="H22" s="6" t="n">
        <v>5.99</v>
      </c>
      <c r="I22" s="4" t="s">
        <v>30</v>
      </c>
      <c r="J22" s="4" t="s">
        <v>15</v>
      </c>
      <c r="K22" s="5" t="n">
        <f aca="false">IF(D22=0,0,ROUND(E22/D22*100,1))</f>
        <v>3.7</v>
      </c>
    </row>
    <row r="23" customFormat="false" ht="15" hidden="false" customHeight="true" outlineLevel="0" collapsed="false">
      <c r="A23" s="7" t="s">
        <v>54</v>
      </c>
      <c r="B23" s="8" t="s">
        <v>60</v>
      </c>
      <c r="C23" s="8" t="s">
        <v>32</v>
      </c>
      <c r="D23" s="9" t="n">
        <v>660</v>
      </c>
      <c r="E23" s="9" t="n">
        <v>30</v>
      </c>
      <c r="F23" s="9" t="n">
        <v>66</v>
      </c>
      <c r="G23" s="9" t="n">
        <v>31</v>
      </c>
      <c r="H23" s="10" t="n">
        <v>6.49</v>
      </c>
      <c r="I23" s="8" t="s">
        <v>30</v>
      </c>
      <c r="J23" s="8" t="s">
        <v>15</v>
      </c>
      <c r="K23" s="9" t="n">
        <f aca="false">IF(D23=0,0,ROUND(E23/D23*100,1))</f>
        <v>4.5</v>
      </c>
    </row>
    <row r="24" customFormat="false" ht="15" hidden="false" customHeight="true" outlineLevel="0" collapsed="false">
      <c r="A24" s="3" t="s">
        <v>61</v>
      </c>
      <c r="B24" s="4" t="s">
        <v>62</v>
      </c>
      <c r="C24" s="4" t="s">
        <v>32</v>
      </c>
      <c r="D24" s="5" t="n">
        <v>490</v>
      </c>
      <c r="E24" s="5" t="n">
        <v>28</v>
      </c>
      <c r="F24" s="5" t="n">
        <v>43</v>
      </c>
      <c r="G24" s="5" t="n">
        <v>23</v>
      </c>
      <c r="H24" s="6" t="n">
        <v>6.29</v>
      </c>
      <c r="I24" s="4" t="s">
        <v>63</v>
      </c>
      <c r="J24" s="4" t="s">
        <v>15</v>
      </c>
      <c r="K24" s="5" t="n">
        <f aca="false">IF(D24=0,0,ROUND(E24/D24*100,1))</f>
        <v>5.7</v>
      </c>
    </row>
    <row r="25" customFormat="false" ht="15" hidden="false" customHeight="true" outlineLevel="0" collapsed="false">
      <c r="A25" s="7" t="s">
        <v>61</v>
      </c>
      <c r="B25" s="8" t="s">
        <v>64</v>
      </c>
      <c r="C25" s="8" t="s">
        <v>65</v>
      </c>
      <c r="D25" s="9" t="n">
        <v>330</v>
      </c>
      <c r="E25" s="9" t="n">
        <v>40</v>
      </c>
      <c r="F25" s="9" t="n">
        <v>13</v>
      </c>
      <c r="G25" s="9" t="n">
        <v>14</v>
      </c>
      <c r="H25" s="10" t="n">
        <v>9.65</v>
      </c>
      <c r="I25" s="8" t="s">
        <v>63</v>
      </c>
      <c r="J25" s="8" t="s">
        <v>15</v>
      </c>
      <c r="K25" s="9" t="n">
        <f aca="false">IF(D25=0,0,ROUND(E25/D25*100,1))</f>
        <v>12.1</v>
      </c>
    </row>
    <row r="26" customFormat="false" ht="15" hidden="false" customHeight="true" outlineLevel="0" collapsed="false">
      <c r="A26" s="3" t="s">
        <v>61</v>
      </c>
      <c r="B26" s="4" t="s">
        <v>31</v>
      </c>
      <c r="C26" s="4" t="s">
        <v>66</v>
      </c>
      <c r="D26" s="5" t="n">
        <v>380</v>
      </c>
      <c r="E26" s="5" t="n">
        <v>28</v>
      </c>
      <c r="F26" s="5" t="n">
        <v>44</v>
      </c>
      <c r="G26" s="5" t="n">
        <v>11</v>
      </c>
      <c r="H26" s="6" t="n">
        <v>6.49</v>
      </c>
      <c r="I26" s="4" t="s">
        <v>63</v>
      </c>
      <c r="J26" s="4" t="s">
        <v>15</v>
      </c>
      <c r="K26" s="5" t="n">
        <f aca="false">IF(D26=0,0,ROUND(E26/D26*100,1))</f>
        <v>7.4</v>
      </c>
    </row>
    <row r="27" customFormat="false" ht="15" hidden="false" customHeight="true" outlineLevel="0" collapsed="false">
      <c r="A27" s="7" t="s">
        <v>61</v>
      </c>
      <c r="B27" s="8" t="s">
        <v>67</v>
      </c>
      <c r="C27" s="8" t="s">
        <v>68</v>
      </c>
      <c r="D27" s="9" t="n">
        <v>200</v>
      </c>
      <c r="E27" s="9" t="n">
        <v>38</v>
      </c>
      <c r="F27" s="9" t="n">
        <v>2</v>
      </c>
      <c r="G27" s="9" t="n">
        <v>4.5</v>
      </c>
      <c r="H27" s="10" t="n">
        <v>6.75</v>
      </c>
      <c r="I27" s="8" t="s">
        <v>63</v>
      </c>
      <c r="J27" s="8" t="s">
        <v>18</v>
      </c>
      <c r="K27" s="9" t="n">
        <f aca="false">IF(D27=0,0,ROUND(E27/D27*100,1))</f>
        <v>19</v>
      </c>
    </row>
    <row r="28" customFormat="false" ht="15" hidden="false" customHeight="true" outlineLevel="0" collapsed="false">
      <c r="A28" s="3" t="s">
        <v>61</v>
      </c>
      <c r="B28" s="4" t="s">
        <v>69</v>
      </c>
      <c r="C28" s="4" t="s">
        <v>65</v>
      </c>
      <c r="D28" s="5" t="n">
        <v>340</v>
      </c>
      <c r="E28" s="5" t="n">
        <v>28</v>
      </c>
      <c r="F28" s="5" t="n">
        <v>29</v>
      </c>
      <c r="G28" s="5" t="n">
        <v>14</v>
      </c>
      <c r="H28" s="6" t="n">
        <v>9.65</v>
      </c>
      <c r="I28" s="4" t="s">
        <v>63</v>
      </c>
      <c r="J28" s="4" t="s">
        <v>15</v>
      </c>
      <c r="K28" s="5" t="n">
        <f aca="false">IF(D28=0,0,ROUND(E28/D28*100,1))</f>
        <v>8.2</v>
      </c>
    </row>
    <row r="29" customFormat="false" ht="15" hidden="false" customHeight="true" outlineLevel="0" collapsed="false">
      <c r="A29" s="7" t="s">
        <v>61</v>
      </c>
      <c r="B29" s="8" t="s">
        <v>70</v>
      </c>
      <c r="C29" s="8" t="s">
        <v>68</v>
      </c>
      <c r="D29" s="9" t="n">
        <v>380</v>
      </c>
      <c r="E29" s="9" t="n">
        <v>40</v>
      </c>
      <c r="F29" s="9" t="n">
        <v>16</v>
      </c>
      <c r="G29" s="9" t="n">
        <v>18</v>
      </c>
      <c r="H29" s="10" t="n">
        <v>6.75</v>
      </c>
      <c r="I29" s="8" t="s">
        <v>63</v>
      </c>
      <c r="J29" s="8" t="s">
        <v>15</v>
      </c>
      <c r="K29" s="9" t="n">
        <f aca="false">IF(D29=0,0,ROUND(E29/D29*100,1))</f>
        <v>10.5</v>
      </c>
    </row>
    <row r="30" customFormat="false" ht="15" hidden="false" customHeight="true" outlineLevel="0" collapsed="false">
      <c r="A30" s="3" t="s">
        <v>61</v>
      </c>
      <c r="B30" s="4" t="s">
        <v>71</v>
      </c>
      <c r="C30" s="4" t="s">
        <v>32</v>
      </c>
      <c r="D30" s="5" t="n">
        <v>450</v>
      </c>
      <c r="E30" s="5" t="n">
        <v>28</v>
      </c>
      <c r="F30" s="5" t="n">
        <v>45</v>
      </c>
      <c r="G30" s="5" t="n">
        <v>19</v>
      </c>
      <c r="H30" s="6" t="n">
        <v>5.99</v>
      </c>
      <c r="I30" s="4" t="s">
        <v>63</v>
      </c>
      <c r="J30" s="4" t="s">
        <v>15</v>
      </c>
      <c r="K30" s="5" t="n">
        <f aca="false">IF(D30=0,0,ROUND(E30/D30*100,1))</f>
        <v>6.2</v>
      </c>
    </row>
    <row r="31" customFormat="false" ht="15" hidden="false" customHeight="true" outlineLevel="0" collapsed="false">
      <c r="A31" s="7" t="s">
        <v>72</v>
      </c>
      <c r="B31" s="8" t="s">
        <v>73</v>
      </c>
      <c r="C31" s="8" t="s">
        <v>74</v>
      </c>
      <c r="D31" s="9" t="n">
        <v>655</v>
      </c>
      <c r="E31" s="9" t="n">
        <v>52</v>
      </c>
      <c r="F31" s="9" t="n">
        <v>71</v>
      </c>
      <c r="G31" s="9" t="n">
        <v>21</v>
      </c>
      <c r="H31" s="10" t="n">
        <v>11.95</v>
      </c>
      <c r="I31" s="8" t="s">
        <v>14</v>
      </c>
      <c r="J31" s="8" t="s">
        <v>75</v>
      </c>
      <c r="K31" s="9" t="n">
        <f aca="false">IF(D31=0,0,ROUND(E31/D31*100,1))</f>
        <v>7.9</v>
      </c>
    </row>
    <row r="32" customFormat="false" ht="15" hidden="false" customHeight="true" outlineLevel="0" collapsed="false">
      <c r="A32" s="3" t="s">
        <v>72</v>
      </c>
      <c r="B32" s="4" t="s">
        <v>76</v>
      </c>
      <c r="C32" s="4" t="s">
        <v>77</v>
      </c>
      <c r="D32" s="5" t="n">
        <v>405</v>
      </c>
      <c r="E32" s="5" t="n">
        <v>65</v>
      </c>
      <c r="F32" s="5" t="n">
        <v>10</v>
      </c>
      <c r="G32" s="5" t="n">
        <v>14</v>
      </c>
      <c r="H32" s="6" t="n">
        <v>13.2</v>
      </c>
      <c r="I32" s="4" t="s">
        <v>14</v>
      </c>
      <c r="J32" s="4" t="s">
        <v>78</v>
      </c>
      <c r="K32" s="5" t="n">
        <f aca="false">IF(D32=0,0,ROUND(E32/D32*100,1))</f>
        <v>16</v>
      </c>
    </row>
    <row r="33" customFormat="false" ht="15" hidden="false" customHeight="true" outlineLevel="0" collapsed="false">
      <c r="A33" s="7" t="s">
        <v>72</v>
      </c>
      <c r="B33" s="8" t="s">
        <v>79</v>
      </c>
      <c r="C33" s="8" t="s">
        <v>80</v>
      </c>
      <c r="D33" s="9" t="n">
        <v>1020</v>
      </c>
      <c r="E33" s="9" t="n">
        <v>46</v>
      </c>
      <c r="F33" s="9" t="n">
        <v>120</v>
      </c>
      <c r="G33" s="9" t="n">
        <v>48</v>
      </c>
      <c r="H33" s="10" t="n">
        <v>13.95</v>
      </c>
      <c r="I33" s="8" t="s">
        <v>14</v>
      </c>
      <c r="J33" s="8" t="s">
        <v>75</v>
      </c>
      <c r="K33" s="9" t="n">
        <f aca="false">IF(D33=0,0,ROUND(E33/D33*100,1))</f>
        <v>4.5</v>
      </c>
    </row>
    <row r="34" customFormat="false" ht="15" hidden="false" customHeight="true" outlineLevel="0" collapsed="false">
      <c r="A34" s="3" t="s">
        <v>72</v>
      </c>
      <c r="B34" s="4" t="s">
        <v>81</v>
      </c>
      <c r="C34" s="4" t="s">
        <v>82</v>
      </c>
      <c r="D34" s="5" t="n">
        <v>170</v>
      </c>
      <c r="E34" s="5" t="n">
        <v>24</v>
      </c>
      <c r="F34" s="5" t="n">
        <v>2</v>
      </c>
      <c r="G34" s="5" t="n">
        <v>7</v>
      </c>
      <c r="H34" s="6" t="n">
        <v>0</v>
      </c>
      <c r="I34" s="4" t="s">
        <v>14</v>
      </c>
      <c r="J34" s="4" t="s">
        <v>83</v>
      </c>
      <c r="K34" s="5" t="n">
        <f aca="false">IF(D34=0,0,ROUND(E34/D34*100,1))</f>
        <v>14.1</v>
      </c>
    </row>
    <row r="35" customFormat="false" ht="15" hidden="false" customHeight="true" outlineLevel="0" collapsed="false">
      <c r="A35" s="7" t="s">
        <v>72</v>
      </c>
      <c r="B35" s="8" t="s">
        <v>84</v>
      </c>
      <c r="C35" s="8" t="s">
        <v>85</v>
      </c>
      <c r="D35" s="9" t="n">
        <v>130</v>
      </c>
      <c r="E35" s="9" t="n">
        <v>8</v>
      </c>
      <c r="F35" s="9" t="n">
        <v>22</v>
      </c>
      <c r="G35" s="9" t="n">
        <v>2</v>
      </c>
      <c r="H35" s="10" t="n">
        <v>0</v>
      </c>
      <c r="I35" s="8" t="s">
        <v>14</v>
      </c>
      <c r="J35" s="8" t="s">
        <v>86</v>
      </c>
      <c r="K35" s="9" t="n">
        <f aca="false">IF(D35=0,0,ROUND(E35/D35*100,1))</f>
        <v>6.2</v>
      </c>
    </row>
    <row r="36" customFormat="false" ht="15" hidden="false" customHeight="true" outlineLevel="0" collapsed="false">
      <c r="A36" s="3" t="s">
        <v>72</v>
      </c>
      <c r="B36" s="4" t="s">
        <v>87</v>
      </c>
      <c r="C36" s="4" t="s">
        <v>85</v>
      </c>
      <c r="D36" s="5" t="n">
        <v>210</v>
      </c>
      <c r="E36" s="5" t="n">
        <v>4</v>
      </c>
      <c r="F36" s="5" t="n">
        <v>36</v>
      </c>
      <c r="G36" s="5" t="n">
        <v>6</v>
      </c>
      <c r="H36" s="6" t="n">
        <v>0</v>
      </c>
      <c r="I36" s="4" t="s">
        <v>14</v>
      </c>
      <c r="J36" s="4" t="s">
        <v>83</v>
      </c>
      <c r="K36" s="5" t="n">
        <f aca="false">IF(D36=0,0,ROUND(E36/D36*100,1))</f>
        <v>1.9</v>
      </c>
    </row>
    <row r="37" customFormat="false" ht="15" hidden="false" customHeight="true" outlineLevel="0" collapsed="false">
      <c r="A37" s="7" t="s">
        <v>72</v>
      </c>
      <c r="B37" s="8" t="s">
        <v>88</v>
      </c>
      <c r="C37" s="8" t="s">
        <v>82</v>
      </c>
      <c r="D37" s="9" t="n">
        <v>250</v>
      </c>
      <c r="E37" s="9" t="n">
        <v>29</v>
      </c>
      <c r="F37" s="9" t="n">
        <v>1</v>
      </c>
      <c r="G37" s="9" t="n">
        <v>14</v>
      </c>
      <c r="H37" s="10" t="n">
        <v>0</v>
      </c>
      <c r="I37" s="8" t="s">
        <v>14</v>
      </c>
      <c r="J37" s="8" t="s">
        <v>83</v>
      </c>
      <c r="K37" s="9" t="n">
        <f aca="false">IF(D37=0,0,ROUND(E37/D37*100,1))</f>
        <v>11.6</v>
      </c>
    </row>
    <row r="38" customFormat="false" ht="15" hidden="false" customHeight="true" outlineLevel="0" collapsed="false">
      <c r="A38" s="3" t="s">
        <v>72</v>
      </c>
      <c r="B38" s="4" t="s">
        <v>89</v>
      </c>
      <c r="C38" s="4" t="s">
        <v>82</v>
      </c>
      <c r="D38" s="5" t="n">
        <v>210</v>
      </c>
      <c r="E38" s="5" t="n">
        <v>23</v>
      </c>
      <c r="F38" s="5" t="n">
        <v>0</v>
      </c>
      <c r="G38" s="5" t="n">
        <v>12</v>
      </c>
      <c r="H38" s="6" t="n">
        <v>0</v>
      </c>
      <c r="I38" s="4" t="s">
        <v>14</v>
      </c>
      <c r="J38" s="4" t="s">
        <v>83</v>
      </c>
      <c r="K38" s="5" t="n">
        <f aca="false">IF(D38=0,0,ROUND(E38/D38*100,1))</f>
        <v>11</v>
      </c>
    </row>
    <row r="39" customFormat="false" ht="15" hidden="false" customHeight="true" outlineLevel="0" collapsed="false">
      <c r="A39" s="7" t="s">
        <v>72</v>
      </c>
      <c r="B39" s="8" t="s">
        <v>90</v>
      </c>
      <c r="C39" s="8" t="s">
        <v>91</v>
      </c>
      <c r="D39" s="9" t="n">
        <v>110</v>
      </c>
      <c r="E39" s="9" t="n">
        <v>6</v>
      </c>
      <c r="F39" s="9" t="n">
        <v>1</v>
      </c>
      <c r="G39" s="9" t="n">
        <v>8</v>
      </c>
      <c r="H39" s="10" t="n">
        <v>0</v>
      </c>
      <c r="I39" s="8" t="s">
        <v>14</v>
      </c>
      <c r="J39" s="8" t="s">
        <v>83</v>
      </c>
      <c r="K39" s="9" t="n">
        <f aca="false">IF(D39=0,0,ROUND(E39/D39*100,1))</f>
        <v>5.5</v>
      </c>
    </row>
    <row r="40" customFormat="false" ht="15" hidden="false" customHeight="true" outlineLevel="0" collapsed="false">
      <c r="A40" s="3" t="s">
        <v>72</v>
      </c>
      <c r="B40" s="4" t="s">
        <v>63</v>
      </c>
      <c r="C40" s="4" t="s">
        <v>82</v>
      </c>
      <c r="D40" s="5" t="n">
        <v>180</v>
      </c>
      <c r="E40" s="5" t="n">
        <v>32</v>
      </c>
      <c r="F40" s="5" t="n">
        <v>0</v>
      </c>
      <c r="G40" s="5" t="n">
        <v>7</v>
      </c>
      <c r="H40" s="6" t="n">
        <v>0</v>
      </c>
      <c r="I40" s="4" t="s">
        <v>14</v>
      </c>
      <c r="J40" s="4" t="s">
        <v>92</v>
      </c>
      <c r="K40" s="5" t="n">
        <f aca="false">IF(D40=0,0,ROUND(E40/D40*100,1))</f>
        <v>17.8</v>
      </c>
    </row>
    <row r="41" customFormat="false" ht="15" hidden="false" customHeight="true" outlineLevel="0" collapsed="false">
      <c r="A41" s="7" t="s">
        <v>72</v>
      </c>
      <c r="B41" s="8" t="s">
        <v>93</v>
      </c>
      <c r="C41" s="8" t="s">
        <v>94</v>
      </c>
      <c r="D41" s="9" t="n">
        <v>540</v>
      </c>
      <c r="E41" s="9" t="n">
        <v>7</v>
      </c>
      <c r="F41" s="9" t="n">
        <v>73</v>
      </c>
      <c r="G41" s="9" t="n">
        <v>25</v>
      </c>
      <c r="H41" s="10" t="n">
        <v>3.3</v>
      </c>
      <c r="I41" s="8" t="s">
        <v>14</v>
      </c>
      <c r="J41" s="8" t="s">
        <v>83</v>
      </c>
      <c r="K41" s="9" t="n">
        <f aca="false">IF(D41=0,0,ROUND(E41/D41*100,1))</f>
        <v>1.3</v>
      </c>
    </row>
    <row r="42" customFormat="false" ht="15" hidden="false" customHeight="true" outlineLevel="0" collapsed="false">
      <c r="A42" s="3" t="s">
        <v>72</v>
      </c>
      <c r="B42" s="4" t="s">
        <v>95</v>
      </c>
      <c r="C42" s="4" t="s">
        <v>96</v>
      </c>
      <c r="D42" s="5" t="n">
        <v>210</v>
      </c>
      <c r="E42" s="5" t="n">
        <v>3</v>
      </c>
      <c r="F42" s="5" t="n">
        <v>27</v>
      </c>
      <c r="G42" s="5" t="n">
        <v>9</v>
      </c>
      <c r="H42" s="6" t="n">
        <v>0</v>
      </c>
      <c r="I42" s="4" t="s">
        <v>14</v>
      </c>
      <c r="J42" s="4" t="s">
        <v>83</v>
      </c>
      <c r="K42" s="5" t="n">
        <f aca="false">IF(D42=0,0,ROUND(E42/D42*100,1))</f>
        <v>1.4</v>
      </c>
    </row>
    <row r="43" customFormat="false" ht="15" hidden="false" customHeight="true" outlineLevel="0" collapsed="false">
      <c r="A43" s="7" t="s">
        <v>72</v>
      </c>
      <c r="B43" s="8" t="s">
        <v>97</v>
      </c>
      <c r="C43" s="8" t="s">
        <v>85</v>
      </c>
      <c r="D43" s="9" t="n">
        <v>20</v>
      </c>
      <c r="E43" s="9" t="n">
        <v>1</v>
      </c>
      <c r="F43" s="9" t="n">
        <v>5</v>
      </c>
      <c r="G43" s="9" t="n">
        <v>0</v>
      </c>
      <c r="H43" s="10" t="n">
        <v>0</v>
      </c>
      <c r="I43" s="8" t="s">
        <v>14</v>
      </c>
      <c r="J43" s="8" t="s">
        <v>83</v>
      </c>
      <c r="K43" s="9" t="n">
        <f aca="false">IF(D43=0,0,ROUND(E43/D43*100,1))</f>
        <v>5</v>
      </c>
    </row>
    <row r="44" customFormat="false" ht="15" hidden="false" customHeight="true" outlineLevel="0" collapsed="false">
      <c r="A44" s="3" t="s">
        <v>72</v>
      </c>
      <c r="B44" s="4" t="s">
        <v>98</v>
      </c>
      <c r="C44" s="4" t="s">
        <v>96</v>
      </c>
      <c r="D44" s="5" t="n">
        <v>320</v>
      </c>
      <c r="E44" s="5" t="n">
        <v>8</v>
      </c>
      <c r="F44" s="5" t="n">
        <v>50</v>
      </c>
      <c r="G44" s="5" t="n">
        <v>8</v>
      </c>
      <c r="H44" s="6" t="n">
        <v>0</v>
      </c>
      <c r="I44" s="4" t="s">
        <v>14</v>
      </c>
      <c r="J44" s="4" t="s">
        <v>99</v>
      </c>
      <c r="K44" s="5" t="n">
        <f aca="false">IF(D44=0,0,ROUND(E44/D44*100,1))</f>
        <v>2.5</v>
      </c>
    </row>
    <row r="45" customFormat="false" ht="15" hidden="false" customHeight="true" outlineLevel="0" collapsed="false">
      <c r="A45" s="7" t="s">
        <v>72</v>
      </c>
      <c r="B45" s="8" t="s">
        <v>100</v>
      </c>
      <c r="C45" s="8" t="s">
        <v>91</v>
      </c>
      <c r="D45" s="9" t="n">
        <v>25</v>
      </c>
      <c r="E45" s="9" t="n">
        <v>0</v>
      </c>
      <c r="F45" s="9" t="n">
        <v>4</v>
      </c>
      <c r="G45" s="9" t="n">
        <v>0</v>
      </c>
      <c r="H45" s="10" t="n">
        <v>0</v>
      </c>
      <c r="I45" s="8" t="s">
        <v>14</v>
      </c>
      <c r="J45" s="8" t="s">
        <v>101</v>
      </c>
      <c r="K45" s="9" t="n">
        <f aca="false">IF(D45=0,0,ROUND(E45/D45*100,1))</f>
        <v>0</v>
      </c>
    </row>
    <row r="46" customFormat="false" ht="15" hidden="false" customHeight="true" outlineLevel="0" collapsed="false">
      <c r="A46" s="3" t="s">
        <v>72</v>
      </c>
      <c r="B46" s="4" t="s">
        <v>102</v>
      </c>
      <c r="C46" s="4" t="s">
        <v>91</v>
      </c>
      <c r="D46" s="5" t="n">
        <v>230</v>
      </c>
      <c r="E46" s="5" t="n">
        <v>2</v>
      </c>
      <c r="F46" s="5" t="n">
        <v>8</v>
      </c>
      <c r="G46" s="5" t="n">
        <v>22</v>
      </c>
      <c r="H46" s="6" t="n">
        <v>2.95</v>
      </c>
      <c r="I46" s="4" t="s">
        <v>14</v>
      </c>
      <c r="J46" s="4" t="s">
        <v>83</v>
      </c>
      <c r="K46" s="5" t="n">
        <f aca="false">IF(D46=0,0,ROUND(E46/D46*100,1))</f>
        <v>0.9</v>
      </c>
    </row>
    <row r="47" customFormat="false" ht="15" hidden="false" customHeight="true" outlineLevel="0" collapsed="false">
      <c r="A47" s="7" t="s">
        <v>72</v>
      </c>
      <c r="B47" s="8" t="s">
        <v>103</v>
      </c>
      <c r="C47" s="8" t="s">
        <v>85</v>
      </c>
      <c r="D47" s="9" t="n">
        <v>130</v>
      </c>
      <c r="E47" s="9" t="n">
        <v>8</v>
      </c>
      <c r="F47" s="9" t="n">
        <v>21</v>
      </c>
      <c r="G47" s="9" t="n">
        <v>2</v>
      </c>
      <c r="H47" s="10" t="n">
        <v>0</v>
      </c>
      <c r="I47" s="8" t="s">
        <v>14</v>
      </c>
      <c r="J47" s="8" t="s">
        <v>83</v>
      </c>
      <c r="K47" s="9" t="n">
        <f aca="false">IF(D47=0,0,ROUND(E47/D47*100,1))</f>
        <v>6.2</v>
      </c>
    </row>
    <row r="48" customFormat="false" ht="15" hidden="false" customHeight="true" outlineLevel="0" collapsed="false">
      <c r="A48" s="3" t="s">
        <v>72</v>
      </c>
      <c r="B48" s="4" t="s">
        <v>104</v>
      </c>
      <c r="C48" s="4" t="s">
        <v>91</v>
      </c>
      <c r="D48" s="5" t="n">
        <v>120</v>
      </c>
      <c r="E48" s="5" t="n">
        <v>5</v>
      </c>
      <c r="F48" s="5" t="n">
        <v>4</v>
      </c>
      <c r="G48" s="5" t="n">
        <v>9</v>
      </c>
      <c r="H48" s="6" t="n">
        <v>0</v>
      </c>
      <c r="I48" s="4" t="s">
        <v>14</v>
      </c>
      <c r="J48" s="4" t="s">
        <v>83</v>
      </c>
      <c r="K48" s="5" t="n">
        <f aca="false">IF(D48=0,0,ROUND(E48/D48*100,1))</f>
        <v>4.2</v>
      </c>
    </row>
    <row r="49" customFormat="false" ht="15" hidden="false" customHeight="true" outlineLevel="0" collapsed="false">
      <c r="A49" s="7" t="s">
        <v>72</v>
      </c>
      <c r="B49" s="8" t="s">
        <v>105</v>
      </c>
      <c r="C49" s="8" t="s">
        <v>91</v>
      </c>
      <c r="D49" s="9" t="n">
        <v>80</v>
      </c>
      <c r="E49" s="9" t="n">
        <v>3</v>
      </c>
      <c r="F49" s="9" t="n">
        <v>16</v>
      </c>
      <c r="G49" s="9" t="n">
        <v>1.5</v>
      </c>
      <c r="H49" s="10" t="n">
        <v>0</v>
      </c>
      <c r="I49" s="8" t="s">
        <v>14</v>
      </c>
      <c r="J49" s="8" t="s">
        <v>83</v>
      </c>
      <c r="K49" s="9" t="n">
        <f aca="false">IF(D49=0,0,ROUND(E49/D49*100,1))</f>
        <v>3.8</v>
      </c>
    </row>
    <row r="50" customFormat="false" ht="15" hidden="false" customHeight="true" outlineLevel="0" collapsed="false">
      <c r="A50" s="3" t="s">
        <v>72</v>
      </c>
      <c r="B50" s="4" t="s">
        <v>106</v>
      </c>
      <c r="C50" s="4" t="s">
        <v>85</v>
      </c>
      <c r="D50" s="5" t="n">
        <v>5</v>
      </c>
      <c r="E50" s="5" t="n">
        <v>0</v>
      </c>
      <c r="F50" s="5" t="n">
        <v>1</v>
      </c>
      <c r="G50" s="5" t="n">
        <v>0</v>
      </c>
      <c r="H50" s="6" t="n">
        <v>0</v>
      </c>
      <c r="I50" s="4" t="s">
        <v>14</v>
      </c>
      <c r="J50" s="4" t="s">
        <v>83</v>
      </c>
      <c r="K50" s="5" t="n">
        <f aca="false">IF(D50=0,0,ROUND(E50/D50*100,1))</f>
        <v>0</v>
      </c>
    </row>
    <row r="51" customFormat="false" ht="15" hidden="false" customHeight="true" outlineLevel="0" collapsed="false">
      <c r="A51" s="7" t="s">
        <v>72</v>
      </c>
      <c r="B51" s="8" t="s">
        <v>107</v>
      </c>
      <c r="C51" s="8" t="s">
        <v>82</v>
      </c>
      <c r="D51" s="9" t="n">
        <v>150</v>
      </c>
      <c r="E51" s="9" t="n">
        <v>8</v>
      </c>
      <c r="F51" s="9" t="n">
        <v>9</v>
      </c>
      <c r="G51" s="9" t="n">
        <v>10</v>
      </c>
      <c r="H51" s="10" t="n">
        <v>0</v>
      </c>
      <c r="I51" s="8" t="s">
        <v>14</v>
      </c>
      <c r="J51" s="8" t="s">
        <v>108</v>
      </c>
      <c r="K51" s="9" t="n">
        <f aca="false">IF(D51=0,0,ROUND(E51/D51*100,1))</f>
        <v>5.3</v>
      </c>
    </row>
    <row r="52" customFormat="false" ht="15" hidden="false" customHeight="true" outlineLevel="0" collapsed="false">
      <c r="A52" s="3" t="s">
        <v>72</v>
      </c>
      <c r="B52" s="4" t="s">
        <v>109</v>
      </c>
      <c r="C52" s="4" t="s">
        <v>91</v>
      </c>
      <c r="D52" s="5" t="n">
        <v>110</v>
      </c>
      <c r="E52" s="5" t="n">
        <v>2</v>
      </c>
      <c r="F52" s="5" t="n">
        <v>2</v>
      </c>
      <c r="G52" s="5" t="n">
        <v>9</v>
      </c>
      <c r="H52" s="6" t="n">
        <v>0</v>
      </c>
      <c r="I52" s="4" t="s">
        <v>14</v>
      </c>
      <c r="J52" s="4" t="s">
        <v>83</v>
      </c>
      <c r="K52" s="5" t="n">
        <f aca="false">IF(D52=0,0,ROUND(E52/D52*100,1))</f>
        <v>1.8</v>
      </c>
    </row>
    <row r="53" customFormat="false" ht="15" hidden="false" customHeight="true" outlineLevel="0" collapsed="false">
      <c r="A53" s="7" t="s">
        <v>72</v>
      </c>
      <c r="B53" s="8" t="s">
        <v>110</v>
      </c>
      <c r="C53" s="8" t="s">
        <v>82</v>
      </c>
      <c r="D53" s="9" t="n">
        <v>150</v>
      </c>
      <c r="E53" s="9" t="n">
        <v>21</v>
      </c>
      <c r="F53" s="9" t="n">
        <v>1</v>
      </c>
      <c r="G53" s="9" t="n">
        <v>6</v>
      </c>
      <c r="H53" s="10" t="n">
        <v>0</v>
      </c>
      <c r="I53" s="8" t="s">
        <v>14</v>
      </c>
      <c r="J53" s="8" t="s">
        <v>111</v>
      </c>
      <c r="K53" s="9" t="n">
        <f aca="false">IF(D53=0,0,ROUND(E53/D53*100,1))</f>
        <v>14</v>
      </c>
    </row>
    <row r="54" customFormat="false" ht="15" hidden="false" customHeight="true" outlineLevel="0" collapsed="false">
      <c r="A54" s="3" t="s">
        <v>72</v>
      </c>
      <c r="B54" s="4" t="s">
        <v>112</v>
      </c>
      <c r="C54" s="4" t="s">
        <v>85</v>
      </c>
      <c r="D54" s="5" t="n">
        <v>15</v>
      </c>
      <c r="E54" s="5" t="n">
        <v>1</v>
      </c>
      <c r="F54" s="5" t="n">
        <v>3</v>
      </c>
      <c r="G54" s="5" t="n">
        <v>0</v>
      </c>
      <c r="H54" s="6" t="n">
        <v>0</v>
      </c>
      <c r="I54" s="4" t="s">
        <v>14</v>
      </c>
      <c r="J54" s="4" t="s">
        <v>83</v>
      </c>
      <c r="K54" s="5" t="n">
        <f aca="false">IF(D54=0,0,ROUND(E54/D54*100,1))</f>
        <v>6.7</v>
      </c>
    </row>
    <row r="55" customFormat="false" ht="15" hidden="false" customHeight="true" outlineLevel="0" collapsed="false">
      <c r="A55" s="7" t="s">
        <v>72</v>
      </c>
      <c r="B55" s="8" t="s">
        <v>113</v>
      </c>
      <c r="C55" s="8" t="s">
        <v>91</v>
      </c>
      <c r="D55" s="9" t="n">
        <v>15</v>
      </c>
      <c r="E55" s="9" t="n">
        <v>0</v>
      </c>
      <c r="F55" s="9" t="n">
        <v>4</v>
      </c>
      <c r="G55" s="9" t="n">
        <v>0</v>
      </c>
      <c r="H55" s="10" t="n">
        <v>0</v>
      </c>
      <c r="I55" s="8" t="s">
        <v>14</v>
      </c>
      <c r="J55" s="8" t="s">
        <v>83</v>
      </c>
      <c r="K55" s="9" t="n">
        <f aca="false">IF(D55=0,0,ROUND(E55/D55*100,1))</f>
        <v>0</v>
      </c>
    </row>
    <row r="56" customFormat="false" ht="15" hidden="false" customHeight="true" outlineLevel="0" collapsed="false">
      <c r="A56" s="3" t="s">
        <v>72</v>
      </c>
      <c r="B56" s="4" t="s">
        <v>114</v>
      </c>
      <c r="C56" s="4" t="s">
        <v>91</v>
      </c>
      <c r="D56" s="5" t="n">
        <v>30</v>
      </c>
      <c r="E56" s="5" t="n">
        <v>0</v>
      </c>
      <c r="F56" s="5" t="n">
        <v>4</v>
      </c>
      <c r="G56" s="5" t="n">
        <v>0</v>
      </c>
      <c r="H56" s="6" t="n">
        <v>0</v>
      </c>
      <c r="I56" s="4" t="s">
        <v>14</v>
      </c>
      <c r="J56" s="4" t="s">
        <v>83</v>
      </c>
      <c r="K56" s="5" t="n">
        <f aca="false">IF(D56=0,0,ROUND(E56/D56*100,1))</f>
        <v>0</v>
      </c>
    </row>
    <row r="57" customFormat="false" ht="15" hidden="false" customHeight="true" outlineLevel="0" collapsed="false">
      <c r="A57" s="7" t="s">
        <v>72</v>
      </c>
      <c r="B57" s="8" t="s">
        <v>115</v>
      </c>
      <c r="C57" s="8" t="s">
        <v>85</v>
      </c>
      <c r="D57" s="9" t="n">
        <v>210</v>
      </c>
      <c r="E57" s="9" t="n">
        <v>4</v>
      </c>
      <c r="F57" s="9" t="n">
        <v>40</v>
      </c>
      <c r="G57" s="9" t="n">
        <v>4</v>
      </c>
      <c r="H57" s="10" t="n">
        <v>0</v>
      </c>
      <c r="I57" s="8" t="s">
        <v>14</v>
      </c>
      <c r="J57" s="8" t="s">
        <v>83</v>
      </c>
      <c r="K57" s="9" t="n">
        <f aca="false">IF(D57=0,0,ROUND(E57/D57*100,1))</f>
        <v>1.9</v>
      </c>
    </row>
    <row r="58" customFormat="false" ht="15" hidden="false" customHeight="true" outlineLevel="0" collapsed="false">
      <c r="A58" s="3" t="s">
        <v>116</v>
      </c>
      <c r="B58" s="4" t="s">
        <v>117</v>
      </c>
      <c r="C58" s="4" t="s">
        <v>38</v>
      </c>
      <c r="D58" s="5" t="n">
        <v>880</v>
      </c>
      <c r="E58" s="5" t="n">
        <v>13</v>
      </c>
      <c r="F58" s="5" t="n">
        <v>127</v>
      </c>
      <c r="G58" s="5" t="n">
        <v>37</v>
      </c>
      <c r="H58" s="6" t="n">
        <v>5.49</v>
      </c>
      <c r="I58" s="4" t="s">
        <v>24</v>
      </c>
      <c r="J58" s="4" t="s">
        <v>15</v>
      </c>
      <c r="K58" s="5" t="n">
        <f aca="false">IF(D58=0,0,ROUND(E58/D58*100,1))</f>
        <v>1.5</v>
      </c>
    </row>
    <row r="59" customFormat="false" ht="15" hidden="false" customHeight="true" outlineLevel="0" collapsed="false">
      <c r="A59" s="7" t="s">
        <v>116</v>
      </c>
      <c r="B59" s="8" t="s">
        <v>118</v>
      </c>
      <c r="C59" s="8" t="s">
        <v>38</v>
      </c>
      <c r="D59" s="9" t="n">
        <v>350</v>
      </c>
      <c r="E59" s="9" t="n">
        <v>5</v>
      </c>
      <c r="F59" s="9" t="n">
        <v>50</v>
      </c>
      <c r="G59" s="9" t="n">
        <v>15</v>
      </c>
      <c r="H59" s="10" t="n">
        <v>3.99</v>
      </c>
      <c r="I59" s="8" t="s">
        <v>24</v>
      </c>
      <c r="J59" s="8" t="s">
        <v>15</v>
      </c>
      <c r="K59" s="9" t="n">
        <f aca="false">IF(D59=0,0,ROUND(E59/D59*100,1))</f>
        <v>1.4</v>
      </c>
    </row>
    <row r="60" customFormat="false" ht="15" hidden="false" customHeight="true" outlineLevel="0" collapsed="false">
      <c r="A60" s="3" t="s">
        <v>119</v>
      </c>
      <c r="B60" s="4" t="s">
        <v>120</v>
      </c>
      <c r="C60" s="4" t="s">
        <v>121</v>
      </c>
      <c r="D60" s="5" t="n">
        <v>950</v>
      </c>
      <c r="E60" s="5" t="n">
        <v>15</v>
      </c>
      <c r="F60" s="5" t="n">
        <v>99</v>
      </c>
      <c r="G60" s="5" t="n">
        <v>56</v>
      </c>
      <c r="H60" s="6" t="n">
        <v>7.49</v>
      </c>
      <c r="I60" s="4" t="s">
        <v>24</v>
      </c>
      <c r="J60" s="4" t="s">
        <v>15</v>
      </c>
      <c r="K60" s="5" t="n">
        <f aca="false">IF(D60=0,0,ROUND(E60/D60*100,1))</f>
        <v>1.6</v>
      </c>
    </row>
    <row r="61" customFormat="false" ht="15" hidden="false" customHeight="true" outlineLevel="0" collapsed="false">
      <c r="A61" s="7" t="s">
        <v>119</v>
      </c>
      <c r="B61" s="8" t="s">
        <v>122</v>
      </c>
      <c r="C61" s="8" t="s">
        <v>123</v>
      </c>
      <c r="D61" s="9" t="n">
        <v>340</v>
      </c>
      <c r="E61" s="9" t="n">
        <v>5</v>
      </c>
      <c r="F61" s="9" t="n">
        <v>33</v>
      </c>
      <c r="G61" s="9" t="n">
        <v>21</v>
      </c>
      <c r="H61" s="10" t="n">
        <v>4.99</v>
      </c>
      <c r="I61" s="8" t="s">
        <v>24</v>
      </c>
      <c r="J61" s="8" t="s">
        <v>15</v>
      </c>
      <c r="K61" s="9" t="n">
        <f aca="false">IF(D61=0,0,ROUND(E61/D61*100,1))</f>
        <v>1.5</v>
      </c>
    </row>
    <row r="62" customFormat="false" ht="15" hidden="false" customHeight="true" outlineLevel="0" collapsed="false">
      <c r="A62" s="3" t="s">
        <v>124</v>
      </c>
      <c r="B62" s="4" t="s">
        <v>125</v>
      </c>
      <c r="C62" s="4" t="s">
        <v>126</v>
      </c>
      <c r="D62" s="5" t="n">
        <v>720</v>
      </c>
      <c r="E62" s="5" t="n">
        <v>11</v>
      </c>
      <c r="F62" s="5" t="n">
        <v>105</v>
      </c>
      <c r="G62" s="5" t="n">
        <v>28</v>
      </c>
      <c r="H62" s="6" t="n">
        <v>4.99</v>
      </c>
      <c r="I62" s="4" t="s">
        <v>24</v>
      </c>
      <c r="J62" s="4" t="s">
        <v>15</v>
      </c>
      <c r="K62" s="5" t="n">
        <f aca="false">IF(D62=0,0,ROUND(E62/D62*100,1))</f>
        <v>1.5</v>
      </c>
    </row>
    <row r="63" customFormat="false" ht="15" hidden="false" customHeight="true" outlineLevel="0" collapsed="false">
      <c r="A63" s="7" t="s">
        <v>124</v>
      </c>
      <c r="B63" s="8" t="s">
        <v>127</v>
      </c>
      <c r="C63" s="8" t="s">
        <v>126</v>
      </c>
      <c r="D63" s="9" t="n">
        <v>560</v>
      </c>
      <c r="E63" s="9" t="n">
        <v>10</v>
      </c>
      <c r="F63" s="9" t="n">
        <v>82</v>
      </c>
      <c r="G63" s="9" t="n">
        <v>21</v>
      </c>
      <c r="H63" s="10" t="n">
        <v>4.49</v>
      </c>
      <c r="I63" s="8" t="s">
        <v>24</v>
      </c>
      <c r="J63" s="8" t="s">
        <v>15</v>
      </c>
      <c r="K63" s="9" t="n">
        <f aca="false">IF(D63=0,0,ROUND(E63/D63*100,1))</f>
        <v>1.8</v>
      </c>
    </row>
    <row r="64" customFormat="false" ht="15" hidden="false" customHeight="true" outlineLevel="0" collapsed="false">
      <c r="A64" s="3" t="s">
        <v>124</v>
      </c>
      <c r="B64" s="4" t="s">
        <v>128</v>
      </c>
      <c r="C64" s="4" t="s">
        <v>129</v>
      </c>
      <c r="D64" s="5" t="n">
        <v>330</v>
      </c>
      <c r="E64" s="5" t="n">
        <v>8</v>
      </c>
      <c r="F64" s="5" t="n">
        <v>53</v>
      </c>
      <c r="G64" s="5" t="n">
        <v>9</v>
      </c>
      <c r="H64" s="6" t="n">
        <v>3.29</v>
      </c>
      <c r="I64" s="4" t="s">
        <v>24</v>
      </c>
      <c r="J64" s="4" t="s">
        <v>15</v>
      </c>
      <c r="K64" s="5" t="n">
        <f aca="false">IF(D64=0,0,ROUND(E64/D64*100,1))</f>
        <v>2.4</v>
      </c>
    </row>
    <row r="65" customFormat="false" ht="15" hidden="false" customHeight="true" outlineLevel="0" collapsed="false">
      <c r="A65" s="7" t="s">
        <v>130</v>
      </c>
      <c r="B65" s="8" t="s">
        <v>131</v>
      </c>
      <c r="C65" s="8" t="s">
        <v>13</v>
      </c>
      <c r="D65" s="9" t="n">
        <v>530</v>
      </c>
      <c r="E65" s="9" t="n">
        <v>18</v>
      </c>
      <c r="F65" s="9" t="n">
        <v>72</v>
      </c>
      <c r="G65" s="9" t="n">
        <v>18</v>
      </c>
      <c r="H65" s="10" t="n">
        <v>4.49</v>
      </c>
      <c r="I65" s="8" t="s">
        <v>14</v>
      </c>
      <c r="J65" s="8" t="s">
        <v>132</v>
      </c>
      <c r="K65" s="9" t="n">
        <f aca="false">IF(D65=0,0,ROUND(E65/D65*100,1))</f>
        <v>3.4</v>
      </c>
    </row>
    <row r="66" customFormat="false" ht="15" hidden="false" customHeight="true" outlineLevel="0" collapsed="false">
      <c r="A66" s="3" t="s">
        <v>130</v>
      </c>
      <c r="B66" s="4" t="s">
        <v>133</v>
      </c>
      <c r="C66" s="4" t="s">
        <v>29</v>
      </c>
      <c r="D66" s="5" t="n">
        <v>760</v>
      </c>
      <c r="E66" s="5" t="n">
        <v>37</v>
      </c>
      <c r="F66" s="5" t="n">
        <v>35</v>
      </c>
      <c r="G66" s="5" t="n">
        <v>51</v>
      </c>
      <c r="H66" s="6" t="n">
        <v>6.49</v>
      </c>
      <c r="I66" s="4" t="s">
        <v>30</v>
      </c>
      <c r="J66" s="4" t="s">
        <v>134</v>
      </c>
      <c r="K66" s="5" t="n">
        <f aca="false">IF(D66=0,0,ROUND(E66/D66*100,1))</f>
        <v>4.9</v>
      </c>
    </row>
    <row r="67" customFormat="false" ht="15" hidden="false" customHeight="true" outlineLevel="0" collapsed="false">
      <c r="A67" s="7" t="s">
        <v>130</v>
      </c>
      <c r="B67" s="8" t="s">
        <v>135</v>
      </c>
      <c r="C67" s="8" t="s">
        <v>13</v>
      </c>
      <c r="D67" s="9" t="n">
        <v>470</v>
      </c>
      <c r="E67" s="9" t="n">
        <v>21</v>
      </c>
      <c r="F67" s="9" t="n">
        <v>69</v>
      </c>
      <c r="G67" s="9" t="n">
        <v>10</v>
      </c>
      <c r="H67" s="10" t="n">
        <v>2.99</v>
      </c>
      <c r="I67" s="8" t="s">
        <v>14</v>
      </c>
      <c r="J67" s="8" t="s">
        <v>132</v>
      </c>
      <c r="K67" s="9" t="n">
        <f aca="false">IF(D67=0,0,ROUND(E67/D67*100,1))</f>
        <v>4.5</v>
      </c>
    </row>
    <row r="68" customFormat="false" ht="15" hidden="false" customHeight="true" outlineLevel="0" collapsed="false">
      <c r="A68" s="3" t="s">
        <v>130</v>
      </c>
      <c r="B68" s="4" t="s">
        <v>136</v>
      </c>
      <c r="C68" s="4" t="s">
        <v>38</v>
      </c>
      <c r="D68" s="5" t="n">
        <v>290</v>
      </c>
      <c r="E68" s="5" t="n">
        <v>15</v>
      </c>
      <c r="F68" s="5" t="n">
        <v>17</v>
      </c>
      <c r="G68" s="5" t="n">
        <v>18</v>
      </c>
      <c r="H68" s="6" t="n">
        <v>3.29</v>
      </c>
      <c r="I68" s="4" t="s">
        <v>14</v>
      </c>
      <c r="J68" s="4" t="s">
        <v>132</v>
      </c>
      <c r="K68" s="5" t="n">
        <f aca="false">IF(D68=0,0,ROUND(E68/D68*100,1))</f>
        <v>5.2</v>
      </c>
    </row>
    <row r="69" customFormat="false" ht="15" hidden="false" customHeight="true" outlineLevel="0" collapsed="false">
      <c r="A69" s="7" t="s">
        <v>130</v>
      </c>
      <c r="B69" s="8" t="s">
        <v>137</v>
      </c>
      <c r="C69" s="8" t="s">
        <v>13</v>
      </c>
      <c r="D69" s="9" t="n">
        <v>760</v>
      </c>
      <c r="E69" s="9" t="n">
        <v>21</v>
      </c>
      <c r="F69" s="9" t="n">
        <v>46</v>
      </c>
      <c r="G69" s="9" t="n">
        <v>56</v>
      </c>
      <c r="H69" s="10" t="n">
        <v>6.99</v>
      </c>
      <c r="I69" s="8" t="s">
        <v>14</v>
      </c>
      <c r="J69" s="8" t="s">
        <v>83</v>
      </c>
      <c r="K69" s="9" t="n">
        <f aca="false">IF(D69=0,0,ROUND(E69/D69*100,1))</f>
        <v>2.8</v>
      </c>
    </row>
    <row r="70" customFormat="false" ht="15" hidden="false" customHeight="true" outlineLevel="0" collapsed="false">
      <c r="A70" s="3" t="s">
        <v>130</v>
      </c>
      <c r="B70" s="4" t="s">
        <v>138</v>
      </c>
      <c r="C70" s="4" t="s">
        <v>38</v>
      </c>
      <c r="D70" s="5" t="n">
        <v>120</v>
      </c>
      <c r="E70" s="5" t="n">
        <v>10</v>
      </c>
      <c r="F70" s="5" t="n">
        <v>14</v>
      </c>
      <c r="G70" s="5" t="n">
        <v>3.5</v>
      </c>
      <c r="H70" s="6" t="n">
        <v>2.49</v>
      </c>
      <c r="I70" s="4" t="s">
        <v>14</v>
      </c>
      <c r="J70" s="4" t="s">
        <v>83</v>
      </c>
      <c r="K70" s="5" t="n">
        <f aca="false">IF(D70=0,0,ROUND(E70/D70*100,1))</f>
        <v>8.3</v>
      </c>
    </row>
    <row r="71" customFormat="false" ht="15" hidden="false" customHeight="true" outlineLevel="0" collapsed="false">
      <c r="A71" s="7" t="s">
        <v>130</v>
      </c>
      <c r="B71" s="8" t="s">
        <v>139</v>
      </c>
      <c r="C71" s="8" t="s">
        <v>13</v>
      </c>
      <c r="D71" s="9" t="n">
        <v>480</v>
      </c>
      <c r="E71" s="9" t="n">
        <v>22</v>
      </c>
      <c r="F71" s="9" t="n">
        <v>35</v>
      </c>
      <c r="G71" s="9" t="n">
        <v>27</v>
      </c>
      <c r="H71" s="10" t="n">
        <v>4.49</v>
      </c>
      <c r="I71" s="8" t="s">
        <v>14</v>
      </c>
      <c r="J71" s="8" t="s">
        <v>132</v>
      </c>
      <c r="K71" s="9" t="n">
        <f aca="false">IF(D71=0,0,ROUND(E71/D71*100,1))</f>
        <v>4.6</v>
      </c>
    </row>
    <row r="72" customFormat="false" ht="15" hidden="false" customHeight="true" outlineLevel="0" collapsed="false">
      <c r="A72" s="3" t="s">
        <v>130</v>
      </c>
      <c r="B72" s="4" t="s">
        <v>140</v>
      </c>
      <c r="C72" s="4" t="s">
        <v>13</v>
      </c>
      <c r="D72" s="5" t="n">
        <v>540</v>
      </c>
      <c r="E72" s="5" t="n">
        <v>29</v>
      </c>
      <c r="F72" s="5" t="n">
        <v>36</v>
      </c>
      <c r="G72" s="5" t="n">
        <v>30</v>
      </c>
      <c r="H72" s="6" t="n">
        <v>5.49</v>
      </c>
      <c r="I72" s="4" t="s">
        <v>14</v>
      </c>
      <c r="J72" s="4" t="s">
        <v>83</v>
      </c>
      <c r="K72" s="5" t="n">
        <f aca="false">IF(D72=0,0,ROUND(E72/D72*100,1))</f>
        <v>5.4</v>
      </c>
    </row>
    <row r="73" customFormat="false" ht="15" hidden="false" customHeight="true" outlineLevel="0" collapsed="false">
      <c r="A73" s="7" t="s">
        <v>130</v>
      </c>
      <c r="B73" s="8" t="s">
        <v>141</v>
      </c>
      <c r="C73" s="8" t="s">
        <v>38</v>
      </c>
      <c r="D73" s="9" t="n">
        <v>110</v>
      </c>
      <c r="E73" s="9" t="n">
        <v>9</v>
      </c>
      <c r="F73" s="9" t="n">
        <v>13</v>
      </c>
      <c r="G73" s="9" t="n">
        <v>4</v>
      </c>
      <c r="H73" s="10" t="n">
        <v>1.99</v>
      </c>
      <c r="I73" s="8" t="s">
        <v>14</v>
      </c>
      <c r="J73" s="8" t="s">
        <v>142</v>
      </c>
      <c r="K73" s="9" t="n">
        <f aca="false">IF(D73=0,0,ROUND(E73/D73*100,1))</f>
        <v>8.2</v>
      </c>
    </row>
    <row r="74" customFormat="false" ht="15" hidden="false" customHeight="true" outlineLevel="0" collapsed="false">
      <c r="A74" s="3" t="s">
        <v>130</v>
      </c>
      <c r="B74" s="4" t="s">
        <v>143</v>
      </c>
      <c r="C74" s="4" t="s">
        <v>13</v>
      </c>
      <c r="D74" s="5" t="n">
        <v>420</v>
      </c>
      <c r="E74" s="5" t="n">
        <v>26</v>
      </c>
      <c r="F74" s="5" t="n">
        <v>22</v>
      </c>
      <c r="G74" s="5" t="n">
        <v>26</v>
      </c>
      <c r="H74" s="6" t="n">
        <v>7.99</v>
      </c>
      <c r="I74" s="4" t="s">
        <v>14</v>
      </c>
      <c r="J74" s="4" t="s">
        <v>144</v>
      </c>
      <c r="K74" s="5" t="n">
        <f aca="false">IF(D74=0,0,ROUND(E74/D74*100,1))</f>
        <v>6.2</v>
      </c>
    </row>
    <row r="75" customFormat="false" ht="15" hidden="false" customHeight="true" outlineLevel="0" collapsed="false">
      <c r="A75" s="7" t="s">
        <v>130</v>
      </c>
      <c r="B75" s="8" t="s">
        <v>145</v>
      </c>
      <c r="C75" s="8" t="s">
        <v>126</v>
      </c>
      <c r="D75" s="9" t="n">
        <v>160</v>
      </c>
      <c r="E75" s="9" t="n">
        <v>2</v>
      </c>
      <c r="F75" s="9" t="n">
        <v>17</v>
      </c>
      <c r="G75" s="9" t="n">
        <v>10</v>
      </c>
      <c r="H75" s="10" t="n">
        <v>1.99</v>
      </c>
      <c r="I75" s="8" t="s">
        <v>14</v>
      </c>
      <c r="J75" s="8" t="s">
        <v>83</v>
      </c>
      <c r="K75" s="9" t="n">
        <f aca="false">IF(D75=0,0,ROUND(E75/D75*100,1))</f>
        <v>1.3</v>
      </c>
    </row>
    <row r="76" customFormat="false" ht="15" hidden="false" customHeight="true" outlineLevel="0" collapsed="false">
      <c r="A76" s="3" t="s">
        <v>130</v>
      </c>
      <c r="B76" s="4" t="s">
        <v>146</v>
      </c>
      <c r="C76" s="4" t="s">
        <v>38</v>
      </c>
      <c r="D76" s="5" t="n">
        <v>470</v>
      </c>
      <c r="E76" s="5" t="n">
        <v>17</v>
      </c>
      <c r="F76" s="5" t="n">
        <v>34</v>
      </c>
      <c r="G76" s="5" t="n">
        <v>28</v>
      </c>
      <c r="H76" s="6" t="n">
        <v>4.49</v>
      </c>
      <c r="I76" s="4" t="s">
        <v>30</v>
      </c>
      <c r="J76" s="4" t="s">
        <v>83</v>
      </c>
      <c r="K76" s="5" t="n">
        <f aca="false">IF(D76=0,0,ROUND(E76/D76*100,1))</f>
        <v>3.6</v>
      </c>
    </row>
    <row r="77" customFormat="false" ht="15" hidden="false" customHeight="true" outlineLevel="0" collapsed="false">
      <c r="A77" s="7" t="s">
        <v>130</v>
      </c>
      <c r="B77" s="8" t="s">
        <v>130</v>
      </c>
      <c r="C77" s="8" t="s">
        <v>38</v>
      </c>
      <c r="D77" s="9" t="n">
        <v>170</v>
      </c>
      <c r="E77" s="9" t="n">
        <v>8</v>
      </c>
      <c r="F77" s="9" t="n">
        <v>12</v>
      </c>
      <c r="G77" s="9" t="n">
        <v>10</v>
      </c>
      <c r="H77" s="10" t="n">
        <v>1.79</v>
      </c>
      <c r="I77" s="8" t="s">
        <v>14</v>
      </c>
      <c r="J77" s="8" t="s">
        <v>83</v>
      </c>
      <c r="K77" s="9" t="n">
        <f aca="false">IF(D77=0,0,ROUND(E77/D77*100,1))</f>
        <v>4.7</v>
      </c>
    </row>
    <row r="78" customFormat="false" ht="15" hidden="false" customHeight="true" outlineLevel="0" collapsed="false">
      <c r="A78" s="3" t="s">
        <v>130</v>
      </c>
      <c r="B78" s="4" t="s">
        <v>147</v>
      </c>
      <c r="C78" s="4" t="s">
        <v>29</v>
      </c>
      <c r="D78" s="5" t="n">
        <v>690</v>
      </c>
      <c r="E78" s="5" t="n">
        <v>30</v>
      </c>
      <c r="F78" s="5" t="n">
        <v>35</v>
      </c>
      <c r="G78" s="5" t="n">
        <v>47</v>
      </c>
      <c r="H78" s="6" t="n">
        <v>5.99</v>
      </c>
      <c r="I78" s="4" t="s">
        <v>30</v>
      </c>
      <c r="J78" s="4" t="s">
        <v>83</v>
      </c>
      <c r="K78" s="5" t="n">
        <f aca="false">IF(D78=0,0,ROUND(E78/D78*100,1))</f>
        <v>4.3</v>
      </c>
    </row>
    <row r="79" customFormat="false" ht="15" hidden="false" customHeight="true" outlineLevel="0" collapsed="false">
      <c r="A79" s="7" t="s">
        <v>130</v>
      </c>
      <c r="B79" s="8" t="s">
        <v>148</v>
      </c>
      <c r="C79" s="8" t="s">
        <v>13</v>
      </c>
      <c r="D79" s="9" t="n">
        <v>720</v>
      </c>
      <c r="E79" s="9" t="n">
        <v>37</v>
      </c>
      <c r="F79" s="9" t="n">
        <v>87</v>
      </c>
      <c r="G79" s="9" t="n">
        <v>25</v>
      </c>
      <c r="H79" s="10" t="n">
        <v>8.49</v>
      </c>
      <c r="I79" s="8" t="s">
        <v>14</v>
      </c>
      <c r="J79" s="8" t="s">
        <v>149</v>
      </c>
      <c r="K79" s="9" t="n">
        <f aca="false">IF(D79=0,0,ROUND(E79/D79*100,1))</f>
        <v>5.1</v>
      </c>
    </row>
    <row r="80" customFormat="false" ht="15" hidden="false" customHeight="true" outlineLevel="0" collapsed="false">
      <c r="A80" s="3" t="s">
        <v>130</v>
      </c>
      <c r="B80" s="4" t="s">
        <v>150</v>
      </c>
      <c r="C80" s="4" t="s">
        <v>13</v>
      </c>
      <c r="D80" s="5" t="n">
        <v>860</v>
      </c>
      <c r="E80" s="5" t="n">
        <v>43</v>
      </c>
      <c r="F80" s="5" t="n">
        <v>73</v>
      </c>
      <c r="G80" s="5" t="n">
        <v>45</v>
      </c>
      <c r="H80" s="6" t="n">
        <v>8.99</v>
      </c>
      <c r="I80" s="4" t="s">
        <v>14</v>
      </c>
      <c r="J80" s="4" t="s">
        <v>83</v>
      </c>
      <c r="K80" s="5" t="n">
        <f aca="false">IF(D80=0,0,ROUND(E80/D80*100,1))</f>
        <v>5</v>
      </c>
    </row>
    <row r="81" customFormat="false" ht="15" hidden="false" customHeight="true" outlineLevel="0" collapsed="false">
      <c r="A81" s="7" t="s">
        <v>130</v>
      </c>
      <c r="B81" s="8" t="s">
        <v>151</v>
      </c>
      <c r="C81" s="8" t="s">
        <v>13</v>
      </c>
      <c r="D81" s="9" t="n">
        <v>1030</v>
      </c>
      <c r="E81" s="9" t="n">
        <v>41</v>
      </c>
      <c r="F81" s="9" t="n">
        <v>99</v>
      </c>
      <c r="G81" s="9" t="n">
        <v>54</v>
      </c>
      <c r="H81" s="10" t="n">
        <v>8.49</v>
      </c>
      <c r="I81" s="8" t="s">
        <v>14</v>
      </c>
      <c r="J81" s="8" t="s">
        <v>152</v>
      </c>
      <c r="K81" s="9" t="n">
        <f aca="false">IF(D81=0,0,ROUND(E81/D81*100,1))</f>
        <v>4</v>
      </c>
    </row>
    <row r="82" customFormat="false" ht="15" hidden="false" customHeight="true" outlineLevel="0" collapsed="false">
      <c r="A82" s="3" t="s">
        <v>153</v>
      </c>
      <c r="B82" s="4" t="s">
        <v>154</v>
      </c>
      <c r="C82" s="4" t="s">
        <v>155</v>
      </c>
      <c r="D82" s="5" t="n">
        <v>300</v>
      </c>
      <c r="E82" s="5" t="n">
        <v>4</v>
      </c>
      <c r="F82" s="5" t="n">
        <v>40</v>
      </c>
      <c r="G82" s="5" t="n">
        <v>14</v>
      </c>
      <c r="H82" s="6" t="n">
        <v>1.79</v>
      </c>
      <c r="I82" s="4" t="s">
        <v>24</v>
      </c>
      <c r="J82" s="4" t="s">
        <v>15</v>
      </c>
      <c r="K82" s="5" t="n">
        <f aca="false">IF(D82=0,0,ROUND(E82/D82*100,1))</f>
        <v>1.3</v>
      </c>
    </row>
    <row r="83" customFormat="false" ht="15" hidden="false" customHeight="true" outlineLevel="0" collapsed="false">
      <c r="A83" s="7" t="s">
        <v>153</v>
      </c>
      <c r="B83" s="8" t="s">
        <v>156</v>
      </c>
      <c r="C83" s="8" t="s">
        <v>155</v>
      </c>
      <c r="D83" s="9" t="n">
        <v>240</v>
      </c>
      <c r="E83" s="9" t="n">
        <v>4</v>
      </c>
      <c r="F83" s="9" t="n">
        <v>33</v>
      </c>
      <c r="G83" s="9" t="n">
        <v>11</v>
      </c>
      <c r="H83" s="10" t="n">
        <v>1.49</v>
      </c>
      <c r="I83" s="8" t="s">
        <v>24</v>
      </c>
      <c r="J83" s="8" t="s">
        <v>15</v>
      </c>
      <c r="K83" s="9" t="n">
        <f aca="false">IF(D83=0,0,ROUND(E83/D83*100,1))</f>
        <v>1.7</v>
      </c>
    </row>
    <row r="84" customFormat="false" ht="15" hidden="false" customHeight="true" outlineLevel="0" collapsed="false">
      <c r="A84" s="3" t="s">
        <v>157</v>
      </c>
      <c r="B84" s="4" t="s">
        <v>158</v>
      </c>
      <c r="C84" s="4" t="s">
        <v>13</v>
      </c>
      <c r="D84" s="5" t="n">
        <v>410</v>
      </c>
      <c r="E84" s="5" t="n">
        <v>14</v>
      </c>
      <c r="F84" s="5" t="n">
        <v>68</v>
      </c>
      <c r="G84" s="5" t="n">
        <v>15</v>
      </c>
      <c r="H84" s="6" t="n">
        <v>4.99</v>
      </c>
      <c r="I84" s="4" t="s">
        <v>14</v>
      </c>
      <c r="J84" s="4" t="s">
        <v>132</v>
      </c>
      <c r="K84" s="5" t="n">
        <f aca="false">IF(D84=0,0,ROUND(E84/D84*100,1))</f>
        <v>3.4</v>
      </c>
    </row>
    <row r="85" customFormat="false" ht="15" hidden="false" customHeight="true" outlineLevel="0" collapsed="false">
      <c r="A85" s="7" t="s">
        <v>157</v>
      </c>
      <c r="B85" s="8" t="s">
        <v>159</v>
      </c>
      <c r="C85" s="8" t="s">
        <v>13</v>
      </c>
      <c r="D85" s="9" t="n">
        <v>940</v>
      </c>
      <c r="E85" s="9" t="n">
        <v>52</v>
      </c>
      <c r="F85" s="9" t="n">
        <v>54</v>
      </c>
      <c r="G85" s="9" t="n">
        <v>57</v>
      </c>
      <c r="H85" s="10" t="n">
        <v>9.49</v>
      </c>
      <c r="I85" s="8" t="s">
        <v>14</v>
      </c>
      <c r="J85" s="8" t="s">
        <v>83</v>
      </c>
      <c r="K85" s="9" t="n">
        <f aca="false">IF(D85=0,0,ROUND(E85/D85*100,1))</f>
        <v>5.5</v>
      </c>
    </row>
    <row r="86" customFormat="false" ht="15" hidden="false" customHeight="true" outlineLevel="0" collapsed="false">
      <c r="A86" s="3" t="s">
        <v>157</v>
      </c>
      <c r="B86" s="4" t="s">
        <v>160</v>
      </c>
      <c r="C86" s="4" t="s">
        <v>20</v>
      </c>
      <c r="D86" s="5" t="n">
        <v>580</v>
      </c>
      <c r="E86" s="5" t="n">
        <v>31</v>
      </c>
      <c r="F86" s="5" t="n">
        <v>39</v>
      </c>
      <c r="G86" s="5" t="n">
        <v>33</v>
      </c>
      <c r="H86" s="6" t="n">
        <v>7.49</v>
      </c>
      <c r="I86" s="4" t="s">
        <v>14</v>
      </c>
      <c r="J86" s="4" t="s">
        <v>83</v>
      </c>
      <c r="K86" s="5" t="n">
        <f aca="false">IF(D86=0,0,ROUND(E86/D86*100,1))</f>
        <v>5.3</v>
      </c>
    </row>
    <row r="87" customFormat="false" ht="15" hidden="false" customHeight="true" outlineLevel="0" collapsed="false">
      <c r="A87" s="7" t="s">
        <v>157</v>
      </c>
      <c r="B87" s="8" t="s">
        <v>161</v>
      </c>
      <c r="C87" s="8" t="s">
        <v>13</v>
      </c>
      <c r="D87" s="9" t="n">
        <v>480</v>
      </c>
      <c r="E87" s="9" t="n">
        <v>28</v>
      </c>
      <c r="F87" s="9" t="n">
        <v>42</v>
      </c>
      <c r="G87" s="9" t="n">
        <v>22</v>
      </c>
      <c r="H87" s="10" t="n">
        <v>7.49</v>
      </c>
      <c r="I87" s="8" t="s">
        <v>14</v>
      </c>
      <c r="J87" s="8" t="s">
        <v>83</v>
      </c>
      <c r="K87" s="9" t="n">
        <f aca="false">IF(D87=0,0,ROUND(E87/D87*100,1))</f>
        <v>5.8</v>
      </c>
    </row>
    <row r="88" customFormat="false" ht="15" hidden="false" customHeight="true" outlineLevel="0" collapsed="false">
      <c r="A88" s="3" t="s">
        <v>157</v>
      </c>
      <c r="B88" s="4" t="s">
        <v>162</v>
      </c>
      <c r="C88" s="4" t="s">
        <v>13</v>
      </c>
      <c r="D88" s="5" t="n">
        <v>460</v>
      </c>
      <c r="E88" s="5" t="n">
        <v>38</v>
      </c>
      <c r="F88" s="5" t="n">
        <v>40</v>
      </c>
      <c r="G88" s="5" t="n">
        <v>11</v>
      </c>
      <c r="H88" s="6" t="n">
        <v>8.99</v>
      </c>
      <c r="I88" s="4" t="s">
        <v>63</v>
      </c>
      <c r="J88" s="4" t="s">
        <v>83</v>
      </c>
      <c r="K88" s="5" t="n">
        <f aca="false">IF(D88=0,0,ROUND(E88/D88*100,1))</f>
        <v>8.3</v>
      </c>
    </row>
    <row r="89" customFormat="false" ht="15" hidden="false" customHeight="true" outlineLevel="0" collapsed="false">
      <c r="A89" s="7" t="s">
        <v>157</v>
      </c>
      <c r="B89" s="8" t="s">
        <v>163</v>
      </c>
      <c r="C89" s="8" t="s">
        <v>164</v>
      </c>
      <c r="D89" s="9" t="n">
        <v>220</v>
      </c>
      <c r="E89" s="9" t="n">
        <v>36</v>
      </c>
      <c r="F89" s="9" t="n">
        <v>0</v>
      </c>
      <c r="G89" s="9" t="n">
        <v>8</v>
      </c>
      <c r="H89" s="10" t="n">
        <v>3.99</v>
      </c>
      <c r="I89" s="8" t="s">
        <v>63</v>
      </c>
      <c r="J89" s="8" t="s">
        <v>83</v>
      </c>
      <c r="K89" s="9" t="n">
        <f aca="false">IF(D89=0,0,ROUND(E89/D89*100,1))</f>
        <v>16.4</v>
      </c>
    </row>
    <row r="90" customFormat="false" ht="15" hidden="false" customHeight="true" outlineLevel="0" collapsed="false">
      <c r="A90" s="3" t="s">
        <v>157</v>
      </c>
      <c r="B90" s="4" t="s">
        <v>165</v>
      </c>
      <c r="C90" s="4" t="s">
        <v>166</v>
      </c>
      <c r="D90" s="5" t="n">
        <v>180</v>
      </c>
      <c r="E90" s="5" t="n">
        <v>35</v>
      </c>
      <c r="F90" s="5" t="n">
        <v>0</v>
      </c>
      <c r="G90" s="5" t="n">
        <v>4</v>
      </c>
      <c r="H90" s="6" t="n">
        <v>3.99</v>
      </c>
      <c r="I90" s="4" t="s">
        <v>63</v>
      </c>
      <c r="J90" s="4" t="s">
        <v>167</v>
      </c>
      <c r="K90" s="5" t="n">
        <f aca="false">IF(D90=0,0,ROUND(E90/D90*100,1))</f>
        <v>19.4</v>
      </c>
    </row>
    <row r="91" customFormat="false" ht="15" hidden="false" customHeight="true" outlineLevel="0" collapsed="false">
      <c r="A91" s="7" t="s">
        <v>157</v>
      </c>
      <c r="B91" s="8" t="s">
        <v>168</v>
      </c>
      <c r="C91" s="8" t="s">
        <v>13</v>
      </c>
      <c r="D91" s="9" t="n">
        <v>690</v>
      </c>
      <c r="E91" s="9" t="n">
        <v>32</v>
      </c>
      <c r="F91" s="9" t="n">
        <v>70</v>
      </c>
      <c r="G91" s="9" t="n">
        <v>32</v>
      </c>
      <c r="H91" s="10" t="n">
        <v>8.49</v>
      </c>
      <c r="I91" s="8" t="s">
        <v>14</v>
      </c>
      <c r="J91" s="8" t="s">
        <v>83</v>
      </c>
      <c r="K91" s="9" t="n">
        <f aca="false">IF(D91=0,0,ROUND(E91/D91*100,1))</f>
        <v>4.6</v>
      </c>
    </row>
    <row r="92" customFormat="false" ht="15" hidden="false" customHeight="true" outlineLevel="0" collapsed="false">
      <c r="A92" s="3" t="s">
        <v>157</v>
      </c>
      <c r="B92" s="4" t="s">
        <v>169</v>
      </c>
      <c r="C92" s="4" t="s">
        <v>166</v>
      </c>
      <c r="D92" s="5" t="n">
        <v>90</v>
      </c>
      <c r="E92" s="5" t="n">
        <v>11</v>
      </c>
      <c r="F92" s="5" t="n">
        <v>0</v>
      </c>
      <c r="G92" s="5" t="n">
        <v>5</v>
      </c>
      <c r="H92" s="6" t="n">
        <v>1.99</v>
      </c>
      <c r="I92" s="4" t="s">
        <v>63</v>
      </c>
      <c r="J92" s="4" t="s">
        <v>83</v>
      </c>
      <c r="K92" s="5" t="n">
        <f aca="false">IF(D92=0,0,ROUND(E92/D92*100,1))</f>
        <v>12.2</v>
      </c>
    </row>
    <row r="93" customFormat="false" ht="15" hidden="false" customHeight="true" outlineLevel="0" collapsed="false">
      <c r="A93" s="7" t="s">
        <v>157</v>
      </c>
      <c r="B93" s="8" t="s">
        <v>170</v>
      </c>
      <c r="C93" s="8" t="s">
        <v>171</v>
      </c>
      <c r="D93" s="9" t="n">
        <v>430</v>
      </c>
      <c r="E93" s="9" t="n">
        <v>29</v>
      </c>
      <c r="F93" s="9" t="n">
        <v>50</v>
      </c>
      <c r="G93" s="9" t="n">
        <v>12</v>
      </c>
      <c r="H93" s="10" t="n">
        <v>7.99</v>
      </c>
      <c r="I93" s="8" t="s">
        <v>14</v>
      </c>
      <c r="J93" s="8" t="s">
        <v>83</v>
      </c>
      <c r="K93" s="9" t="n">
        <f aca="false">IF(D93=0,0,ROUND(E93/D93*100,1))</f>
        <v>6.7</v>
      </c>
    </row>
    <row r="94" customFormat="false" ht="15" hidden="false" customHeight="true" outlineLevel="0" collapsed="false">
      <c r="A94" s="3" t="s">
        <v>157</v>
      </c>
      <c r="B94" s="4" t="s">
        <v>172</v>
      </c>
      <c r="C94" s="4" t="s">
        <v>166</v>
      </c>
      <c r="D94" s="5" t="n">
        <v>210</v>
      </c>
      <c r="E94" s="5" t="n">
        <v>18</v>
      </c>
      <c r="F94" s="5" t="n">
        <v>0</v>
      </c>
      <c r="G94" s="5" t="n">
        <v>15</v>
      </c>
      <c r="H94" s="6" t="n">
        <v>2.99</v>
      </c>
      <c r="I94" s="4" t="s">
        <v>63</v>
      </c>
      <c r="J94" s="4" t="s">
        <v>83</v>
      </c>
      <c r="K94" s="5" t="n">
        <f aca="false">IF(D94=0,0,ROUND(E94/D94*100,1))</f>
        <v>8.6</v>
      </c>
    </row>
    <row r="95" customFormat="false" ht="15" hidden="false" customHeight="true" outlineLevel="0" collapsed="false">
      <c r="A95" s="7" t="s">
        <v>157</v>
      </c>
      <c r="B95" s="8" t="s">
        <v>173</v>
      </c>
      <c r="C95" s="8" t="s">
        <v>13</v>
      </c>
      <c r="D95" s="9" t="n">
        <v>510</v>
      </c>
      <c r="E95" s="9" t="n">
        <v>30</v>
      </c>
      <c r="F95" s="9" t="n">
        <v>64</v>
      </c>
      <c r="G95" s="9" t="n">
        <v>14</v>
      </c>
      <c r="H95" s="10" t="n">
        <v>7.99</v>
      </c>
      <c r="I95" s="8" t="s">
        <v>14</v>
      </c>
      <c r="J95" s="8" t="s">
        <v>83</v>
      </c>
      <c r="K95" s="9" t="n">
        <f aca="false">IF(D95=0,0,ROUND(E95/D95*100,1))</f>
        <v>5.9</v>
      </c>
    </row>
    <row r="96" customFormat="false" ht="15" hidden="false" customHeight="true" outlineLevel="0" collapsed="false">
      <c r="A96" s="3" t="s">
        <v>157</v>
      </c>
      <c r="B96" s="4" t="s">
        <v>174</v>
      </c>
      <c r="C96" s="4" t="s">
        <v>175</v>
      </c>
      <c r="D96" s="5" t="n">
        <v>370</v>
      </c>
      <c r="E96" s="5" t="n">
        <v>42</v>
      </c>
      <c r="F96" s="5" t="n">
        <v>18</v>
      </c>
      <c r="G96" s="5" t="n">
        <v>15</v>
      </c>
      <c r="H96" s="6" t="n">
        <v>9.99</v>
      </c>
      <c r="I96" s="4" t="s">
        <v>63</v>
      </c>
      <c r="J96" s="4" t="s">
        <v>176</v>
      </c>
      <c r="K96" s="5" t="n">
        <f aca="false">IF(D96=0,0,ROUND(E96/D96*100,1))</f>
        <v>11.4</v>
      </c>
    </row>
    <row r="97" customFormat="false" ht="15" hidden="false" customHeight="true" outlineLevel="0" collapsed="false">
      <c r="A97" s="7" t="s">
        <v>157</v>
      </c>
      <c r="B97" s="8" t="s">
        <v>177</v>
      </c>
      <c r="C97" s="8" t="s">
        <v>13</v>
      </c>
      <c r="D97" s="9" t="n">
        <v>1200</v>
      </c>
      <c r="E97" s="9" t="n">
        <v>55</v>
      </c>
      <c r="F97" s="9" t="n">
        <v>88</v>
      </c>
      <c r="G97" s="9" t="n">
        <v>68</v>
      </c>
      <c r="H97" s="10" t="n">
        <v>9.99</v>
      </c>
      <c r="I97" s="8" t="s">
        <v>14</v>
      </c>
      <c r="J97" s="8" t="s">
        <v>178</v>
      </c>
      <c r="K97" s="9" t="n">
        <f aca="false">IF(D97=0,0,ROUND(E97/D97*100,1))</f>
        <v>4.6</v>
      </c>
    </row>
    <row r="98" customFormat="false" ht="15" hidden="false" customHeight="true" outlineLevel="0" collapsed="false">
      <c r="A98" s="3" t="s">
        <v>157</v>
      </c>
      <c r="B98" s="4" t="s">
        <v>179</v>
      </c>
      <c r="C98" s="4" t="s">
        <v>13</v>
      </c>
      <c r="D98" s="5" t="n">
        <v>520</v>
      </c>
      <c r="E98" s="5" t="n">
        <v>37</v>
      </c>
      <c r="F98" s="5" t="n">
        <v>83</v>
      </c>
      <c r="G98" s="5" t="n">
        <v>4.5</v>
      </c>
      <c r="H98" s="6" t="n">
        <v>8.49</v>
      </c>
      <c r="I98" s="4" t="s">
        <v>63</v>
      </c>
      <c r="J98" s="4" t="s">
        <v>180</v>
      </c>
      <c r="K98" s="5" t="n">
        <f aca="false">IF(D98=0,0,ROUND(E98/D98*100,1))</f>
        <v>7.1</v>
      </c>
    </row>
    <row r="99" customFormat="false" ht="15" hidden="false" customHeight="true" outlineLevel="0" collapsed="false">
      <c r="A99" s="7" t="s">
        <v>181</v>
      </c>
      <c r="B99" s="8" t="s">
        <v>182</v>
      </c>
      <c r="C99" s="8" t="s">
        <v>38</v>
      </c>
      <c r="D99" s="9" t="n">
        <v>590</v>
      </c>
      <c r="E99" s="9" t="n">
        <v>29</v>
      </c>
      <c r="F99" s="9" t="n">
        <v>46</v>
      </c>
      <c r="G99" s="9" t="n">
        <v>32</v>
      </c>
      <c r="H99" s="10" t="n">
        <v>7.99</v>
      </c>
      <c r="I99" s="8" t="s">
        <v>30</v>
      </c>
      <c r="J99" s="8" t="s">
        <v>15</v>
      </c>
      <c r="K99" s="9" t="n">
        <f aca="false">IF(D99=0,0,ROUND(E99/D99*100,1))</f>
        <v>4.9</v>
      </c>
    </row>
    <row r="100" customFormat="false" ht="15" hidden="false" customHeight="true" outlineLevel="0" collapsed="false">
      <c r="A100" s="3" t="s">
        <v>181</v>
      </c>
      <c r="B100" s="4" t="s">
        <v>183</v>
      </c>
      <c r="C100" s="4" t="s">
        <v>29</v>
      </c>
      <c r="D100" s="5" t="n">
        <v>850</v>
      </c>
      <c r="E100" s="5" t="n">
        <v>48</v>
      </c>
      <c r="F100" s="5" t="n">
        <v>47</v>
      </c>
      <c r="G100" s="5" t="n">
        <v>52</v>
      </c>
      <c r="H100" s="6" t="n">
        <v>9.99</v>
      </c>
      <c r="I100" s="4" t="s">
        <v>30</v>
      </c>
      <c r="J100" s="4" t="s">
        <v>15</v>
      </c>
      <c r="K100" s="5" t="n">
        <f aca="false">IF(D100=0,0,ROUND(E100/D100*100,1))</f>
        <v>5.6</v>
      </c>
    </row>
    <row r="101" customFormat="false" ht="15" hidden="false" customHeight="true" outlineLevel="0" collapsed="false">
      <c r="A101" s="7" t="s">
        <v>181</v>
      </c>
      <c r="B101" s="8" t="s">
        <v>184</v>
      </c>
      <c r="C101" s="8" t="s">
        <v>185</v>
      </c>
      <c r="D101" s="9" t="n">
        <v>380</v>
      </c>
      <c r="E101" s="9" t="n">
        <v>5</v>
      </c>
      <c r="F101" s="9" t="n">
        <v>48</v>
      </c>
      <c r="G101" s="9" t="n">
        <v>19</v>
      </c>
      <c r="H101" s="10" t="n">
        <v>3.49</v>
      </c>
      <c r="I101" s="8" t="s">
        <v>30</v>
      </c>
      <c r="J101" s="8" t="s">
        <v>15</v>
      </c>
      <c r="K101" s="9" t="n">
        <f aca="false">IF(D101=0,0,ROUND(E101/D101*100,1))</f>
        <v>1.3</v>
      </c>
    </row>
    <row r="102" customFormat="false" ht="15" hidden="false" customHeight="true" outlineLevel="0" collapsed="false">
      <c r="A102" s="3" t="s">
        <v>181</v>
      </c>
      <c r="B102" s="4" t="s">
        <v>186</v>
      </c>
      <c r="C102" s="4" t="s">
        <v>38</v>
      </c>
      <c r="D102" s="5" t="n">
        <v>480</v>
      </c>
      <c r="E102" s="5" t="n">
        <v>30</v>
      </c>
      <c r="F102" s="5" t="n">
        <v>46</v>
      </c>
      <c r="G102" s="5" t="n">
        <v>18</v>
      </c>
      <c r="H102" s="6" t="n">
        <v>7.99</v>
      </c>
      <c r="I102" s="4" t="s">
        <v>30</v>
      </c>
      <c r="J102" s="4" t="s">
        <v>187</v>
      </c>
      <c r="K102" s="5" t="n">
        <f aca="false">IF(D102=0,0,ROUND(E102/D102*100,1))</f>
        <v>6.3</v>
      </c>
    </row>
    <row r="103" customFormat="false" ht="15" hidden="false" customHeight="true" outlineLevel="0" collapsed="false">
      <c r="A103" s="7" t="s">
        <v>188</v>
      </c>
      <c r="B103" s="8" t="s">
        <v>189</v>
      </c>
      <c r="C103" s="8" t="s">
        <v>38</v>
      </c>
      <c r="D103" s="9" t="n">
        <v>560</v>
      </c>
      <c r="E103" s="9" t="n">
        <v>29</v>
      </c>
      <c r="F103" s="9" t="n">
        <v>40</v>
      </c>
      <c r="G103" s="9" t="n">
        <v>33</v>
      </c>
      <c r="H103" s="10" t="n">
        <v>10.49</v>
      </c>
      <c r="I103" s="8" t="s">
        <v>30</v>
      </c>
      <c r="J103" s="8" t="s">
        <v>15</v>
      </c>
      <c r="K103" s="9" t="n">
        <f aca="false">IF(D103=0,0,ROUND(E103/D103*100,1))</f>
        <v>5.2</v>
      </c>
    </row>
    <row r="104" customFormat="false" ht="15" hidden="false" customHeight="true" outlineLevel="0" collapsed="false">
      <c r="A104" s="3" t="s">
        <v>188</v>
      </c>
      <c r="B104" s="4" t="s">
        <v>190</v>
      </c>
      <c r="C104" s="4" t="s">
        <v>38</v>
      </c>
      <c r="D104" s="5" t="n">
        <v>550</v>
      </c>
      <c r="E104" s="5" t="n">
        <v>27</v>
      </c>
      <c r="F104" s="5" t="n">
        <v>40</v>
      </c>
      <c r="G104" s="5" t="n">
        <v>32</v>
      </c>
      <c r="H104" s="6" t="n">
        <v>9.99</v>
      </c>
      <c r="I104" s="4" t="s">
        <v>30</v>
      </c>
      <c r="J104" s="4" t="s">
        <v>15</v>
      </c>
      <c r="K104" s="5" t="n">
        <f aca="false">IF(D104=0,0,ROUND(E104/D104*100,1))</f>
        <v>4.9</v>
      </c>
    </row>
    <row r="105" customFormat="false" ht="15" hidden="false" customHeight="true" outlineLevel="0" collapsed="false">
      <c r="A105" s="7" t="s">
        <v>188</v>
      </c>
      <c r="B105" s="8" t="s">
        <v>191</v>
      </c>
      <c r="C105" s="8" t="s">
        <v>192</v>
      </c>
      <c r="D105" s="9" t="n">
        <v>480</v>
      </c>
      <c r="E105" s="9" t="n">
        <v>23</v>
      </c>
      <c r="F105" s="9" t="n">
        <v>39</v>
      </c>
      <c r="G105" s="9" t="n">
        <v>26</v>
      </c>
      <c r="H105" s="10" t="n">
        <v>8.99</v>
      </c>
      <c r="I105" s="8" t="s">
        <v>30</v>
      </c>
      <c r="J105" s="8" t="s">
        <v>15</v>
      </c>
      <c r="K105" s="9" t="n">
        <f aca="false">IF(D105=0,0,ROUND(E105/D105*100,1))</f>
        <v>4.8</v>
      </c>
    </row>
    <row r="106" customFormat="false" ht="15" hidden="false" customHeight="true" outlineLevel="0" collapsed="false">
      <c r="A106" s="3" t="s">
        <v>193</v>
      </c>
      <c r="B106" s="4" t="s">
        <v>194</v>
      </c>
      <c r="C106" s="4" t="s">
        <v>195</v>
      </c>
      <c r="D106" s="5" t="n">
        <v>690</v>
      </c>
      <c r="E106" s="5" t="n">
        <v>48</v>
      </c>
      <c r="F106" s="5" t="n">
        <v>40</v>
      </c>
      <c r="G106" s="5" t="n">
        <v>45</v>
      </c>
      <c r="H106" s="6" t="n">
        <v>6.5</v>
      </c>
      <c r="I106" s="4" t="s">
        <v>30</v>
      </c>
      <c r="J106" s="4" t="s">
        <v>196</v>
      </c>
      <c r="K106" s="5" t="n">
        <f aca="false">IF(D106=0,0,ROUND(E106/D106*100,1))</f>
        <v>7</v>
      </c>
    </row>
    <row r="107" customFormat="false" ht="15" hidden="false" customHeight="true" outlineLevel="0" collapsed="false">
      <c r="A107" s="7" t="s">
        <v>193</v>
      </c>
      <c r="B107" s="8" t="s">
        <v>197</v>
      </c>
      <c r="C107" s="8" t="s">
        <v>198</v>
      </c>
      <c r="D107" s="9" t="n">
        <v>970</v>
      </c>
      <c r="E107" s="9" t="n">
        <v>62</v>
      </c>
      <c r="F107" s="9" t="n">
        <v>45</v>
      </c>
      <c r="G107" s="9" t="n">
        <v>56</v>
      </c>
      <c r="H107" s="10" t="n">
        <v>7.75</v>
      </c>
      <c r="I107" s="8" t="s">
        <v>30</v>
      </c>
      <c r="J107" s="8" t="s">
        <v>199</v>
      </c>
      <c r="K107" s="9" t="n">
        <f aca="false">IF(D107=0,0,ROUND(E107/D107*100,1))</f>
        <v>6.4</v>
      </c>
    </row>
    <row r="108" customFormat="false" ht="15" hidden="false" customHeight="true" outlineLevel="0" collapsed="false">
      <c r="A108" s="3" t="s">
        <v>193</v>
      </c>
      <c r="B108" s="4" t="s">
        <v>200</v>
      </c>
      <c r="C108" s="4" t="s">
        <v>201</v>
      </c>
      <c r="D108" s="5" t="n">
        <v>750</v>
      </c>
      <c r="E108" s="5" t="n">
        <v>17</v>
      </c>
      <c r="F108" s="5" t="n">
        <v>54</v>
      </c>
      <c r="G108" s="5" t="n">
        <v>53</v>
      </c>
      <c r="H108" s="6" t="n">
        <v>4.45</v>
      </c>
      <c r="I108" s="4" t="s">
        <v>30</v>
      </c>
      <c r="J108" s="4" t="s">
        <v>196</v>
      </c>
      <c r="K108" s="5" t="n">
        <f aca="false">IF(D108=0,0,ROUND(E108/D108*100,1))</f>
        <v>2.3</v>
      </c>
    </row>
    <row r="109" customFormat="false" ht="15" hidden="false" customHeight="true" outlineLevel="0" collapsed="false">
      <c r="A109" s="7" t="s">
        <v>193</v>
      </c>
      <c r="B109" s="8" t="s">
        <v>202</v>
      </c>
      <c r="C109" s="8" t="s">
        <v>203</v>
      </c>
      <c r="D109" s="9" t="n">
        <v>400</v>
      </c>
      <c r="E109" s="9" t="n">
        <v>22</v>
      </c>
      <c r="F109" s="9" t="n">
        <v>37</v>
      </c>
      <c r="G109" s="9" t="n">
        <v>18</v>
      </c>
      <c r="H109" s="10" t="n">
        <v>3.95</v>
      </c>
      <c r="I109" s="8" t="s">
        <v>30</v>
      </c>
      <c r="J109" s="8" t="s">
        <v>15</v>
      </c>
      <c r="K109" s="9" t="n">
        <f aca="false">IF(D109=0,0,ROUND(E109/D109*100,1))</f>
        <v>5.5</v>
      </c>
    </row>
    <row r="110" customFormat="false" ht="15" hidden="false" customHeight="true" outlineLevel="0" collapsed="false">
      <c r="A110" s="3" t="s">
        <v>193</v>
      </c>
      <c r="B110" s="4" t="s">
        <v>204</v>
      </c>
      <c r="C110" s="4" t="s">
        <v>205</v>
      </c>
      <c r="D110" s="5" t="n">
        <v>330</v>
      </c>
      <c r="E110" s="5" t="n">
        <v>18</v>
      </c>
      <c r="F110" s="5" t="n">
        <v>11</v>
      </c>
      <c r="G110" s="5" t="n">
        <v>25</v>
      </c>
      <c r="H110" s="6" t="n">
        <v>3.95</v>
      </c>
      <c r="I110" s="4" t="s">
        <v>30</v>
      </c>
      <c r="J110" s="4" t="s">
        <v>206</v>
      </c>
      <c r="K110" s="5" t="n">
        <f aca="false">IF(D110=0,0,ROUND(E110/D110*100,1))</f>
        <v>5.5</v>
      </c>
    </row>
    <row r="111" customFormat="false" ht="15" hidden="false" customHeight="true" outlineLevel="0" collapsed="false">
      <c r="A111" s="7" t="s">
        <v>193</v>
      </c>
      <c r="B111" s="8" t="s">
        <v>207</v>
      </c>
      <c r="C111" s="8" t="s">
        <v>208</v>
      </c>
      <c r="D111" s="9" t="n">
        <v>480</v>
      </c>
      <c r="E111" s="9" t="n">
        <v>22</v>
      </c>
      <c r="F111" s="9" t="n">
        <v>39</v>
      </c>
      <c r="G111" s="9" t="n">
        <v>27</v>
      </c>
      <c r="H111" s="10" t="n">
        <v>3.95</v>
      </c>
      <c r="I111" s="8" t="s">
        <v>30</v>
      </c>
      <c r="J111" s="8" t="s">
        <v>15</v>
      </c>
      <c r="K111" s="9" t="n">
        <f aca="false">IF(D111=0,0,ROUND(E111/D111*100,1))</f>
        <v>4.6</v>
      </c>
    </row>
    <row r="112" customFormat="false" ht="15" hidden="false" customHeight="true" outlineLevel="0" collapsed="false">
      <c r="A112" s="3" t="s">
        <v>193</v>
      </c>
      <c r="B112" s="4" t="s">
        <v>209</v>
      </c>
      <c r="C112" s="4" t="s">
        <v>210</v>
      </c>
      <c r="D112" s="5" t="n">
        <v>610</v>
      </c>
      <c r="E112" s="5" t="n">
        <v>16</v>
      </c>
      <c r="F112" s="5" t="n">
        <v>74</v>
      </c>
      <c r="G112" s="5" t="n">
        <v>30</v>
      </c>
      <c r="H112" s="6" t="n">
        <v>3.3</v>
      </c>
      <c r="I112" s="4" t="s">
        <v>24</v>
      </c>
      <c r="J112" s="4" t="s">
        <v>15</v>
      </c>
      <c r="K112" s="5" t="n">
        <f aca="false">IF(D112=0,0,ROUND(E112/D112*100,1))</f>
        <v>2.6</v>
      </c>
    </row>
    <row r="113" customFormat="false" ht="15" hidden="false" customHeight="true" outlineLevel="0" collapsed="false">
      <c r="A113" s="7" t="s">
        <v>193</v>
      </c>
      <c r="B113" s="8" t="s">
        <v>211</v>
      </c>
      <c r="C113" s="8" t="s">
        <v>212</v>
      </c>
      <c r="D113" s="9" t="n">
        <v>410</v>
      </c>
      <c r="E113" s="9" t="n">
        <v>26</v>
      </c>
      <c r="F113" s="9" t="n">
        <v>37</v>
      </c>
      <c r="G113" s="9" t="n">
        <v>17</v>
      </c>
      <c r="H113" s="10" t="n">
        <v>4.5</v>
      </c>
      <c r="I113" s="8" t="s">
        <v>30</v>
      </c>
      <c r="J113" s="8" t="s">
        <v>213</v>
      </c>
      <c r="K113" s="9" t="n">
        <f aca="false">IF(D113=0,0,ROUND(E113/D113*100,1))</f>
        <v>6.3</v>
      </c>
    </row>
    <row r="114" customFormat="false" ht="15" hidden="false" customHeight="true" outlineLevel="0" collapsed="false">
      <c r="A114" s="3" t="s">
        <v>193</v>
      </c>
      <c r="B114" s="4" t="s">
        <v>214</v>
      </c>
      <c r="C114" s="4" t="s">
        <v>203</v>
      </c>
      <c r="D114" s="5" t="n">
        <v>590</v>
      </c>
      <c r="E114" s="5" t="n">
        <v>37</v>
      </c>
      <c r="F114" s="5" t="n">
        <v>37</v>
      </c>
      <c r="G114" s="5" t="n">
        <v>32</v>
      </c>
      <c r="H114" s="6" t="n">
        <v>4.85</v>
      </c>
      <c r="I114" s="4" t="s">
        <v>30</v>
      </c>
      <c r="J114" s="4" t="s">
        <v>15</v>
      </c>
      <c r="K114" s="5" t="n">
        <f aca="false">IF(D114=0,0,ROUND(E114/D114*100,1))</f>
        <v>6.3</v>
      </c>
    </row>
    <row r="115" customFormat="false" ht="15" hidden="false" customHeight="true" outlineLevel="0" collapsed="false">
      <c r="A115" s="7" t="s">
        <v>193</v>
      </c>
      <c r="B115" s="8" t="s">
        <v>215</v>
      </c>
      <c r="C115" s="8" t="s">
        <v>205</v>
      </c>
      <c r="D115" s="9" t="n">
        <v>520</v>
      </c>
      <c r="E115" s="9" t="n">
        <v>33</v>
      </c>
      <c r="F115" s="9" t="n">
        <v>11</v>
      </c>
      <c r="G115" s="9" t="n">
        <v>39</v>
      </c>
      <c r="H115" s="10" t="n">
        <v>4.85</v>
      </c>
      <c r="I115" s="8" t="s">
        <v>30</v>
      </c>
      <c r="J115" s="8" t="s">
        <v>206</v>
      </c>
      <c r="K115" s="9" t="n">
        <f aca="false">IF(D115=0,0,ROUND(E115/D115*100,1))</f>
        <v>6.3</v>
      </c>
    </row>
    <row r="116" customFormat="false" ht="15" hidden="false" customHeight="true" outlineLevel="0" collapsed="false">
      <c r="A116" s="3" t="s">
        <v>193</v>
      </c>
      <c r="B116" s="4" t="s">
        <v>216</v>
      </c>
      <c r="C116" s="4" t="s">
        <v>208</v>
      </c>
      <c r="D116" s="5" t="n">
        <v>670</v>
      </c>
      <c r="E116" s="5" t="n">
        <v>37</v>
      </c>
      <c r="F116" s="5" t="n">
        <v>39</v>
      </c>
      <c r="G116" s="5" t="n">
        <v>41</v>
      </c>
      <c r="H116" s="6" t="n">
        <v>4.85</v>
      </c>
      <c r="I116" s="4" t="s">
        <v>30</v>
      </c>
      <c r="J116" s="4" t="s">
        <v>15</v>
      </c>
      <c r="K116" s="5" t="n">
        <f aca="false">IF(D116=0,0,ROUND(E116/D116*100,1))</f>
        <v>5.5</v>
      </c>
    </row>
    <row r="117" customFormat="false" ht="15" hidden="false" customHeight="true" outlineLevel="0" collapsed="false">
      <c r="A117" s="7" t="s">
        <v>193</v>
      </c>
      <c r="B117" s="8" t="s">
        <v>217</v>
      </c>
      <c r="C117" s="8" t="s">
        <v>218</v>
      </c>
      <c r="D117" s="9" t="n">
        <v>520</v>
      </c>
      <c r="E117" s="9" t="n">
        <v>30</v>
      </c>
      <c r="F117" s="9" t="n">
        <v>11</v>
      </c>
      <c r="G117" s="9" t="n">
        <v>44</v>
      </c>
      <c r="H117" s="10" t="n">
        <v>4.5</v>
      </c>
      <c r="I117" s="8" t="s">
        <v>30</v>
      </c>
      <c r="J117" s="8" t="s">
        <v>219</v>
      </c>
      <c r="K117" s="9" t="n">
        <f aca="false">IF(D117=0,0,ROUND(E117/D117*100,1))</f>
        <v>5.8</v>
      </c>
    </row>
    <row r="118" customFormat="false" ht="15" hidden="false" customHeight="true" outlineLevel="0" collapsed="false">
      <c r="A118" s="3" t="s">
        <v>193</v>
      </c>
      <c r="B118" s="4" t="s">
        <v>220</v>
      </c>
      <c r="C118" s="4" t="s">
        <v>185</v>
      </c>
      <c r="D118" s="5" t="n">
        <v>370</v>
      </c>
      <c r="E118" s="5" t="n">
        <v>6</v>
      </c>
      <c r="F118" s="5" t="n">
        <v>49</v>
      </c>
      <c r="G118" s="5" t="n">
        <v>15</v>
      </c>
      <c r="H118" s="6" t="n">
        <v>2.45</v>
      </c>
      <c r="I118" s="4" t="s">
        <v>30</v>
      </c>
      <c r="J118" s="4" t="s">
        <v>15</v>
      </c>
      <c r="K118" s="5" t="n">
        <f aca="false">IF(D118=0,0,ROUND(E118/D118*100,1))</f>
        <v>1.6</v>
      </c>
    </row>
    <row r="119" customFormat="false" ht="15" hidden="false" customHeight="true" outlineLevel="0" collapsed="false">
      <c r="A119" s="7" t="s">
        <v>193</v>
      </c>
      <c r="B119" s="8" t="s">
        <v>221</v>
      </c>
      <c r="C119" s="8" t="s">
        <v>222</v>
      </c>
      <c r="D119" s="9" t="n">
        <v>400</v>
      </c>
      <c r="E119" s="9" t="n">
        <v>12</v>
      </c>
      <c r="F119" s="9" t="n">
        <v>39</v>
      </c>
      <c r="G119" s="9" t="n">
        <v>23</v>
      </c>
      <c r="H119" s="10" t="n">
        <v>3</v>
      </c>
      <c r="I119" s="8" t="s">
        <v>30</v>
      </c>
      <c r="J119" s="8" t="s">
        <v>223</v>
      </c>
      <c r="K119" s="9" t="n">
        <f aca="false">IF(D119=0,0,ROUND(E119/D119*100,1))</f>
        <v>3</v>
      </c>
    </row>
    <row r="120" customFormat="false" ht="15" hidden="false" customHeight="true" outlineLevel="0" collapsed="false">
      <c r="A120" s="3" t="s">
        <v>193</v>
      </c>
      <c r="B120" s="4" t="s">
        <v>224</v>
      </c>
      <c r="C120" s="4" t="s">
        <v>203</v>
      </c>
      <c r="D120" s="5" t="n">
        <v>300</v>
      </c>
      <c r="E120" s="5" t="n">
        <v>16</v>
      </c>
      <c r="F120" s="5" t="n">
        <v>37</v>
      </c>
      <c r="G120" s="5" t="n">
        <v>9</v>
      </c>
      <c r="H120" s="6" t="n">
        <v>3.45</v>
      </c>
      <c r="I120" s="4" t="s">
        <v>30</v>
      </c>
      <c r="J120" s="4" t="s">
        <v>225</v>
      </c>
      <c r="K120" s="5" t="n">
        <f aca="false">IF(D120=0,0,ROUND(E120/D120*100,1))</f>
        <v>5.3</v>
      </c>
    </row>
    <row r="121" customFormat="false" ht="15" hidden="false" customHeight="true" outlineLevel="0" collapsed="false">
      <c r="A121" s="7" t="s">
        <v>193</v>
      </c>
      <c r="B121" s="8" t="s">
        <v>226</v>
      </c>
      <c r="C121" s="8" t="s">
        <v>205</v>
      </c>
      <c r="D121" s="9" t="n">
        <v>240</v>
      </c>
      <c r="E121" s="9" t="n">
        <v>13</v>
      </c>
      <c r="F121" s="9" t="n">
        <v>11</v>
      </c>
      <c r="G121" s="9" t="n">
        <v>17</v>
      </c>
      <c r="H121" s="10" t="n">
        <v>3.45</v>
      </c>
      <c r="I121" s="8" t="s">
        <v>30</v>
      </c>
      <c r="J121" s="8" t="s">
        <v>206</v>
      </c>
      <c r="K121" s="9" t="n">
        <f aca="false">IF(D121=0,0,ROUND(E121/D121*100,1))</f>
        <v>5.4</v>
      </c>
    </row>
    <row r="122" customFormat="false" ht="15" hidden="false" customHeight="true" outlineLevel="0" collapsed="false">
      <c r="A122" s="3" t="s">
        <v>193</v>
      </c>
      <c r="B122" s="4" t="s">
        <v>227</v>
      </c>
      <c r="C122" s="4" t="s">
        <v>208</v>
      </c>
      <c r="D122" s="5" t="n">
        <v>390</v>
      </c>
      <c r="E122" s="5" t="n">
        <v>16</v>
      </c>
      <c r="F122" s="5" t="n">
        <v>39</v>
      </c>
      <c r="G122" s="5" t="n">
        <v>19</v>
      </c>
      <c r="H122" s="6" t="n">
        <v>3.45</v>
      </c>
      <c r="I122" s="4" t="s">
        <v>30</v>
      </c>
      <c r="J122" s="4" t="s">
        <v>228</v>
      </c>
      <c r="K122" s="5" t="n">
        <f aca="false">IF(D122=0,0,ROUND(E122/D122*100,1))</f>
        <v>4.1</v>
      </c>
    </row>
    <row r="123" customFormat="false" ht="15" hidden="false" customHeight="true" outlineLevel="0" collapsed="false">
      <c r="A123" s="7" t="s">
        <v>193</v>
      </c>
      <c r="B123" s="8" t="s">
        <v>229</v>
      </c>
      <c r="C123" s="8" t="s">
        <v>210</v>
      </c>
      <c r="D123" s="9" t="n">
        <v>610</v>
      </c>
      <c r="E123" s="9" t="n">
        <v>15</v>
      </c>
      <c r="F123" s="9" t="n">
        <v>80</v>
      </c>
      <c r="G123" s="9" t="n">
        <v>29</v>
      </c>
      <c r="H123" s="10" t="n">
        <v>3.3</v>
      </c>
      <c r="I123" s="8" t="s">
        <v>24</v>
      </c>
      <c r="J123" s="8" t="s">
        <v>15</v>
      </c>
      <c r="K123" s="9" t="n">
        <f aca="false">IF(D123=0,0,ROUND(E123/D123*100,1))</f>
        <v>2.5</v>
      </c>
    </row>
    <row r="124" customFormat="false" ht="15" hidden="false" customHeight="true" outlineLevel="0" collapsed="false">
      <c r="A124" s="3" t="s">
        <v>193</v>
      </c>
      <c r="B124" s="4" t="s">
        <v>230</v>
      </c>
      <c r="C124" s="4" t="s">
        <v>210</v>
      </c>
      <c r="D124" s="5" t="n">
        <v>590</v>
      </c>
      <c r="E124" s="5" t="n">
        <v>16</v>
      </c>
      <c r="F124" s="5" t="n">
        <v>74</v>
      </c>
      <c r="G124" s="5" t="n">
        <v>31</v>
      </c>
      <c r="H124" s="6" t="n">
        <v>3.3</v>
      </c>
      <c r="I124" s="4" t="s">
        <v>24</v>
      </c>
      <c r="J124" s="4" t="s">
        <v>15</v>
      </c>
      <c r="K124" s="5" t="n">
        <f aca="false">IF(D124=0,0,ROUND(E124/D124*100,1))</f>
        <v>2.7</v>
      </c>
    </row>
    <row r="125" customFormat="false" ht="15" hidden="false" customHeight="true" outlineLevel="0" collapsed="false">
      <c r="A125" s="7" t="s">
        <v>231</v>
      </c>
      <c r="B125" s="8" t="s">
        <v>232</v>
      </c>
      <c r="C125" s="8" t="s">
        <v>29</v>
      </c>
      <c r="D125" s="9" t="n">
        <v>910</v>
      </c>
      <c r="E125" s="9" t="n">
        <v>55</v>
      </c>
      <c r="F125" s="9" t="n">
        <v>34</v>
      </c>
      <c r="G125" s="9" t="n">
        <v>62</v>
      </c>
      <c r="H125" s="10" t="n">
        <v>8.49</v>
      </c>
      <c r="I125" s="8" t="s">
        <v>30</v>
      </c>
      <c r="J125" s="8" t="s">
        <v>233</v>
      </c>
      <c r="K125" s="9" t="n">
        <f aca="false">IF(D125=0,0,ROUND(E125/D125*100,1))</f>
        <v>6</v>
      </c>
    </row>
    <row r="126" customFormat="false" ht="15" hidden="false" customHeight="true" outlineLevel="0" collapsed="false">
      <c r="A126" s="3" t="s">
        <v>231</v>
      </c>
      <c r="B126" s="4" t="s">
        <v>234</v>
      </c>
      <c r="C126" s="4" t="s">
        <v>13</v>
      </c>
      <c r="D126" s="5" t="n">
        <v>330</v>
      </c>
      <c r="E126" s="5" t="n">
        <v>22</v>
      </c>
      <c r="F126" s="5" t="n">
        <v>33</v>
      </c>
      <c r="G126" s="5" t="n">
        <v>12</v>
      </c>
      <c r="H126" s="6" t="n">
        <v>5.49</v>
      </c>
      <c r="I126" s="4" t="s">
        <v>63</v>
      </c>
      <c r="J126" s="4" t="s">
        <v>235</v>
      </c>
      <c r="K126" s="5" t="n">
        <f aca="false">IF(D126=0,0,ROUND(E126/D126*100,1))</f>
        <v>6.7</v>
      </c>
    </row>
    <row r="127" customFormat="false" ht="15" hidden="false" customHeight="true" outlineLevel="0" collapsed="false">
      <c r="A127" s="7" t="s">
        <v>231</v>
      </c>
      <c r="B127" s="8" t="s">
        <v>236</v>
      </c>
      <c r="C127" s="8" t="s">
        <v>13</v>
      </c>
      <c r="D127" s="9" t="n">
        <v>480</v>
      </c>
      <c r="E127" s="9" t="n">
        <v>27</v>
      </c>
      <c r="F127" s="9" t="n">
        <v>32</v>
      </c>
      <c r="G127" s="9" t="n">
        <v>26</v>
      </c>
      <c r="H127" s="10" t="n">
        <v>6.49</v>
      </c>
      <c r="I127" s="8" t="s">
        <v>63</v>
      </c>
      <c r="J127" s="8" t="s">
        <v>15</v>
      </c>
      <c r="K127" s="9" t="n">
        <f aca="false">IF(D127=0,0,ROUND(E127/D127*100,1))</f>
        <v>5.6</v>
      </c>
    </row>
    <row r="128" customFormat="false" ht="15" hidden="false" customHeight="true" outlineLevel="0" collapsed="false">
      <c r="A128" s="3" t="s">
        <v>231</v>
      </c>
      <c r="B128" s="4" t="s">
        <v>237</v>
      </c>
      <c r="C128" s="4" t="s">
        <v>13</v>
      </c>
      <c r="D128" s="5" t="n">
        <v>580</v>
      </c>
      <c r="E128" s="5" t="n">
        <v>27</v>
      </c>
      <c r="F128" s="5" t="n">
        <v>98</v>
      </c>
      <c r="G128" s="5" t="n">
        <v>9</v>
      </c>
      <c r="H128" s="6" t="n">
        <v>6.99</v>
      </c>
      <c r="I128" s="4" t="s">
        <v>238</v>
      </c>
      <c r="J128" s="4" t="s">
        <v>239</v>
      </c>
      <c r="K128" s="5" t="n">
        <f aca="false">IF(D128=0,0,ROUND(E128/D128*100,1))</f>
        <v>4.7</v>
      </c>
    </row>
    <row r="129" customFormat="false" ht="15" hidden="false" customHeight="true" outlineLevel="0" collapsed="false">
      <c r="A129" s="7" t="s">
        <v>231</v>
      </c>
      <c r="B129" s="8" t="s">
        <v>240</v>
      </c>
      <c r="C129" s="8" t="s">
        <v>129</v>
      </c>
      <c r="D129" s="9" t="n">
        <v>450</v>
      </c>
      <c r="E129" s="9" t="n">
        <v>6</v>
      </c>
      <c r="F129" s="9" t="n">
        <v>54</v>
      </c>
      <c r="G129" s="9" t="n">
        <v>24</v>
      </c>
      <c r="H129" s="10" t="n">
        <v>3.49</v>
      </c>
      <c r="I129" s="8" t="s">
        <v>30</v>
      </c>
      <c r="J129" s="8" t="s">
        <v>15</v>
      </c>
      <c r="K129" s="9" t="n">
        <f aca="false">IF(D129=0,0,ROUND(E129/D129*100,1))</f>
        <v>1.3</v>
      </c>
    </row>
    <row r="130" customFormat="false" ht="15" hidden="false" customHeight="true" outlineLevel="0" collapsed="false">
      <c r="A130" s="3" t="s">
        <v>231</v>
      </c>
      <c r="B130" s="4" t="s">
        <v>241</v>
      </c>
      <c r="C130" s="4" t="s">
        <v>65</v>
      </c>
      <c r="D130" s="5" t="n">
        <v>250</v>
      </c>
      <c r="E130" s="5" t="n">
        <v>28</v>
      </c>
      <c r="F130" s="5" t="n">
        <v>11</v>
      </c>
      <c r="G130" s="5" t="n">
        <v>9</v>
      </c>
      <c r="H130" s="6" t="n">
        <v>7.49</v>
      </c>
      <c r="I130" s="4" t="s">
        <v>242</v>
      </c>
      <c r="J130" s="4" t="s">
        <v>243</v>
      </c>
      <c r="K130" s="5" t="n">
        <f aca="false">IF(D130=0,0,ROUND(E130/D130*100,1))</f>
        <v>11.2</v>
      </c>
    </row>
    <row r="131" customFormat="false" ht="15" hidden="false" customHeight="true" outlineLevel="0" collapsed="false">
      <c r="A131" s="7" t="s">
        <v>231</v>
      </c>
      <c r="B131" s="8" t="s">
        <v>31</v>
      </c>
      <c r="C131" s="8" t="s">
        <v>32</v>
      </c>
      <c r="D131" s="9" t="n">
        <v>430</v>
      </c>
      <c r="E131" s="9" t="n">
        <v>30</v>
      </c>
      <c r="F131" s="9" t="n">
        <v>38</v>
      </c>
      <c r="G131" s="9" t="n">
        <v>18</v>
      </c>
      <c r="H131" s="10" t="n">
        <v>6.49</v>
      </c>
      <c r="I131" s="8" t="s">
        <v>63</v>
      </c>
      <c r="J131" s="8" t="s">
        <v>18</v>
      </c>
      <c r="K131" s="9" t="n">
        <f aca="false">IF(D131=0,0,ROUND(E131/D131*100,1))</f>
        <v>7</v>
      </c>
    </row>
    <row r="132" customFormat="false" ht="15" hidden="false" customHeight="true" outlineLevel="0" collapsed="false">
      <c r="A132" s="3" t="s">
        <v>231</v>
      </c>
      <c r="B132" s="4" t="s">
        <v>244</v>
      </c>
      <c r="C132" s="4" t="s">
        <v>13</v>
      </c>
      <c r="D132" s="5" t="n">
        <v>380</v>
      </c>
      <c r="E132" s="5" t="n">
        <v>17</v>
      </c>
      <c r="F132" s="5" t="n">
        <v>35</v>
      </c>
      <c r="G132" s="5" t="n">
        <v>19</v>
      </c>
      <c r="H132" s="6" t="n">
        <v>5.99</v>
      </c>
      <c r="I132" s="4" t="s">
        <v>63</v>
      </c>
      <c r="J132" s="4" t="s">
        <v>15</v>
      </c>
      <c r="K132" s="5" t="n">
        <f aca="false">IF(D132=0,0,ROUND(E132/D132*100,1))</f>
        <v>4.5</v>
      </c>
    </row>
    <row r="133" customFormat="false" ht="15" hidden="false" customHeight="true" outlineLevel="0" collapsed="false">
      <c r="A133" s="7" t="s">
        <v>231</v>
      </c>
      <c r="B133" s="8" t="s">
        <v>245</v>
      </c>
      <c r="C133" s="8" t="s">
        <v>38</v>
      </c>
      <c r="D133" s="9" t="n">
        <v>470</v>
      </c>
      <c r="E133" s="9" t="n">
        <v>18</v>
      </c>
      <c r="F133" s="9" t="n">
        <v>30</v>
      </c>
      <c r="G133" s="9" t="n">
        <v>31</v>
      </c>
      <c r="H133" s="10" t="n">
        <v>3.99</v>
      </c>
      <c r="I133" s="8" t="s">
        <v>30</v>
      </c>
      <c r="J133" s="8" t="s">
        <v>15</v>
      </c>
      <c r="K133" s="9" t="n">
        <f aca="false">IF(D133=0,0,ROUND(E133/D133*100,1))</f>
        <v>3.8</v>
      </c>
    </row>
    <row r="134" customFormat="false" ht="15" hidden="false" customHeight="true" outlineLevel="0" collapsed="false">
      <c r="A134" s="3" t="s">
        <v>231</v>
      </c>
      <c r="B134" s="4" t="s">
        <v>246</v>
      </c>
      <c r="C134" s="4" t="s">
        <v>38</v>
      </c>
      <c r="D134" s="5" t="n">
        <v>400</v>
      </c>
      <c r="E134" s="5" t="n">
        <v>14</v>
      </c>
      <c r="F134" s="5" t="n">
        <v>31</v>
      </c>
      <c r="G134" s="5" t="n">
        <v>25</v>
      </c>
      <c r="H134" s="6" t="n">
        <v>3.49</v>
      </c>
      <c r="I134" s="4" t="s">
        <v>30</v>
      </c>
      <c r="J134" s="4" t="s">
        <v>15</v>
      </c>
      <c r="K134" s="5" t="n">
        <f aca="false">IF(D134=0,0,ROUND(E134/D134*100,1))</f>
        <v>3.5</v>
      </c>
    </row>
    <row r="135" customFormat="false" ht="15" hidden="false" customHeight="true" outlineLevel="0" collapsed="false">
      <c r="A135" s="7" t="s">
        <v>231</v>
      </c>
      <c r="B135" s="8" t="s">
        <v>247</v>
      </c>
      <c r="C135" s="8" t="s">
        <v>32</v>
      </c>
      <c r="D135" s="9" t="n">
        <v>520</v>
      </c>
      <c r="E135" s="9" t="n">
        <v>23</v>
      </c>
      <c r="F135" s="9" t="n">
        <v>32</v>
      </c>
      <c r="G135" s="9" t="n">
        <v>33</v>
      </c>
      <c r="H135" s="10" t="n">
        <v>4.99</v>
      </c>
      <c r="I135" s="8" t="s">
        <v>30</v>
      </c>
      <c r="J135" s="8" t="s">
        <v>15</v>
      </c>
      <c r="K135" s="9" t="n">
        <f aca="false">IF(D135=0,0,ROUND(E135/D135*100,1))</f>
        <v>4.4</v>
      </c>
    </row>
    <row r="136" customFormat="false" ht="15" hidden="false" customHeight="true" outlineLevel="0" collapsed="false">
      <c r="A136" s="3" t="s">
        <v>231</v>
      </c>
      <c r="B136" s="4" t="s">
        <v>248</v>
      </c>
      <c r="C136" s="4" t="s">
        <v>32</v>
      </c>
      <c r="D136" s="5" t="n">
        <v>600</v>
      </c>
      <c r="E136" s="5" t="n">
        <v>28</v>
      </c>
      <c r="F136" s="5" t="n">
        <v>33</v>
      </c>
      <c r="G136" s="5" t="n">
        <v>40</v>
      </c>
      <c r="H136" s="6" t="n">
        <v>5.49</v>
      </c>
      <c r="I136" s="4" t="s">
        <v>30</v>
      </c>
      <c r="J136" s="4" t="s">
        <v>15</v>
      </c>
      <c r="K136" s="5" t="n">
        <f aca="false">IF(D136=0,0,ROUND(E136/D136*100,1))</f>
        <v>4.7</v>
      </c>
    </row>
    <row r="137" customFormat="false" ht="15" hidden="false" customHeight="true" outlineLevel="0" collapsed="false">
      <c r="A137" s="7" t="s">
        <v>231</v>
      </c>
      <c r="B137" s="8" t="s">
        <v>249</v>
      </c>
      <c r="C137" s="8" t="s">
        <v>32</v>
      </c>
      <c r="D137" s="9" t="n">
        <v>710</v>
      </c>
      <c r="E137" s="9" t="n">
        <v>29</v>
      </c>
      <c r="F137" s="9" t="n">
        <v>38</v>
      </c>
      <c r="G137" s="9" t="n">
        <v>49</v>
      </c>
      <c r="H137" s="10" t="n">
        <v>6.49</v>
      </c>
      <c r="I137" s="8" t="s">
        <v>30</v>
      </c>
      <c r="J137" s="8" t="s">
        <v>15</v>
      </c>
      <c r="K137" s="9" t="n">
        <f aca="false">IF(D137=0,0,ROUND(E137/D137*100,1))</f>
        <v>4.1</v>
      </c>
    </row>
    <row r="138" customFormat="false" ht="15" hidden="false" customHeight="true" outlineLevel="0" collapsed="false">
      <c r="A138" s="3" t="s">
        <v>231</v>
      </c>
      <c r="B138" s="4" t="s">
        <v>250</v>
      </c>
      <c r="C138" s="4" t="s">
        <v>251</v>
      </c>
      <c r="D138" s="5" t="n">
        <v>340</v>
      </c>
      <c r="E138" s="5" t="n">
        <v>12</v>
      </c>
      <c r="F138" s="5" t="n">
        <v>33</v>
      </c>
      <c r="G138" s="5" t="n">
        <v>19</v>
      </c>
      <c r="H138" s="6" t="n">
        <v>2.49</v>
      </c>
      <c r="I138" s="4" t="s">
        <v>14</v>
      </c>
      <c r="J138" s="4" t="s">
        <v>15</v>
      </c>
      <c r="K138" s="5" t="n">
        <f aca="false">IF(D138=0,0,ROUND(E138/D138*100,1))</f>
        <v>3.5</v>
      </c>
    </row>
    <row r="139" customFormat="false" ht="15" hidden="false" customHeight="true" outlineLevel="0" collapsed="false">
      <c r="A139" s="7" t="s">
        <v>252</v>
      </c>
      <c r="B139" s="8" t="s">
        <v>253</v>
      </c>
      <c r="C139" s="8" t="s">
        <v>254</v>
      </c>
      <c r="D139" s="9" t="n">
        <v>920</v>
      </c>
      <c r="E139" s="9" t="n">
        <v>42</v>
      </c>
      <c r="F139" s="9" t="n">
        <v>68</v>
      </c>
      <c r="G139" s="9" t="n">
        <v>52</v>
      </c>
      <c r="H139" s="10" t="n">
        <v>11.95</v>
      </c>
      <c r="I139" s="8" t="s">
        <v>255</v>
      </c>
      <c r="J139" s="8" t="s">
        <v>15</v>
      </c>
      <c r="K139" s="9" t="n">
        <f aca="false">IF(D139=0,0,ROUND(E139/D139*100,1))</f>
        <v>4.6</v>
      </c>
    </row>
    <row r="140" customFormat="false" ht="15" hidden="false" customHeight="true" outlineLevel="0" collapsed="false">
      <c r="A140" s="3" t="s">
        <v>252</v>
      </c>
      <c r="B140" s="4" t="s">
        <v>256</v>
      </c>
      <c r="C140" s="4" t="s">
        <v>185</v>
      </c>
      <c r="D140" s="5" t="n">
        <v>1000</v>
      </c>
      <c r="E140" s="5" t="n">
        <v>55</v>
      </c>
      <c r="F140" s="5" t="n">
        <v>70</v>
      </c>
      <c r="G140" s="5" t="n">
        <v>52</v>
      </c>
      <c r="H140" s="6" t="n">
        <v>12.95</v>
      </c>
      <c r="I140" s="4" t="s">
        <v>255</v>
      </c>
      <c r="J140" s="4" t="s">
        <v>18</v>
      </c>
      <c r="K140" s="5" t="n">
        <f aca="false">IF(D140=0,0,ROUND(E140/D140*100,1))</f>
        <v>5.5</v>
      </c>
    </row>
    <row r="141" customFormat="false" ht="15" hidden="false" customHeight="true" outlineLevel="0" collapsed="false">
      <c r="A141" s="7" t="s">
        <v>252</v>
      </c>
      <c r="B141" s="8" t="s">
        <v>257</v>
      </c>
      <c r="C141" s="8" t="s">
        <v>258</v>
      </c>
      <c r="D141" s="9" t="n">
        <v>800</v>
      </c>
      <c r="E141" s="9" t="n">
        <v>43</v>
      </c>
      <c r="F141" s="9" t="n">
        <v>67</v>
      </c>
      <c r="G141" s="9" t="n">
        <v>39</v>
      </c>
      <c r="H141" s="10" t="n">
        <v>11.45</v>
      </c>
      <c r="I141" s="8" t="s">
        <v>255</v>
      </c>
      <c r="J141" s="8" t="s">
        <v>15</v>
      </c>
      <c r="K141" s="9" t="n">
        <f aca="false">IF(D141=0,0,ROUND(E141/D141*100,1))</f>
        <v>5.4</v>
      </c>
    </row>
    <row r="142" customFormat="false" ht="15" hidden="false" customHeight="true" outlineLevel="0" collapsed="false">
      <c r="A142" s="3" t="s">
        <v>252</v>
      </c>
      <c r="B142" s="4" t="s">
        <v>259</v>
      </c>
      <c r="C142" s="4" t="s">
        <v>260</v>
      </c>
      <c r="D142" s="5" t="n">
        <v>490</v>
      </c>
      <c r="E142" s="5" t="n">
        <v>30</v>
      </c>
      <c r="F142" s="5" t="n">
        <v>9</v>
      </c>
      <c r="G142" s="5" t="n">
        <v>38</v>
      </c>
      <c r="H142" s="6" t="n">
        <v>11.45</v>
      </c>
      <c r="I142" s="4" t="s">
        <v>255</v>
      </c>
      <c r="J142" s="4" t="s">
        <v>261</v>
      </c>
      <c r="K142" s="5" t="n">
        <f aca="false">IF(D142=0,0,ROUND(E142/D142*100,1))</f>
        <v>6.1</v>
      </c>
    </row>
    <row r="143" customFormat="false" ht="15" hidden="false" customHeight="true" outlineLevel="0" collapsed="false">
      <c r="A143" s="7" t="s">
        <v>252</v>
      </c>
      <c r="B143" s="8" t="s">
        <v>262</v>
      </c>
      <c r="C143" s="8" t="s">
        <v>254</v>
      </c>
      <c r="D143" s="9" t="n">
        <v>900</v>
      </c>
      <c r="E143" s="9" t="n">
        <v>48</v>
      </c>
      <c r="F143" s="9" t="n">
        <v>69</v>
      </c>
      <c r="G143" s="9" t="n">
        <v>46</v>
      </c>
      <c r="H143" s="10" t="n">
        <v>12.95</v>
      </c>
      <c r="I143" s="8" t="s">
        <v>255</v>
      </c>
      <c r="J143" s="8" t="s">
        <v>15</v>
      </c>
      <c r="K143" s="9" t="n">
        <f aca="false">IF(D143=0,0,ROUND(E143/D143*100,1))</f>
        <v>5.3</v>
      </c>
    </row>
    <row r="144" customFormat="false" ht="15" hidden="false" customHeight="true" outlineLevel="0" collapsed="false">
      <c r="A144" s="3" t="s">
        <v>263</v>
      </c>
      <c r="B144" s="4" t="s">
        <v>264</v>
      </c>
      <c r="C144" s="4" t="s">
        <v>38</v>
      </c>
      <c r="D144" s="5" t="n">
        <v>310</v>
      </c>
      <c r="E144" s="5" t="n">
        <v>12</v>
      </c>
      <c r="F144" s="5" t="n">
        <v>29</v>
      </c>
      <c r="G144" s="5" t="n">
        <v>16</v>
      </c>
      <c r="H144" s="6" t="n">
        <v>2.49</v>
      </c>
      <c r="I144" s="4" t="s">
        <v>63</v>
      </c>
      <c r="J144" s="4" t="s">
        <v>15</v>
      </c>
      <c r="K144" s="5" t="n">
        <f aca="false">IF(D144=0,0,ROUND(E144/D144*100,1))</f>
        <v>3.9</v>
      </c>
    </row>
    <row r="145" customFormat="false" ht="15" hidden="false" customHeight="true" outlineLevel="0" collapsed="false">
      <c r="A145" s="7" t="s">
        <v>263</v>
      </c>
      <c r="B145" s="8" t="s">
        <v>265</v>
      </c>
      <c r="C145" s="8" t="s">
        <v>13</v>
      </c>
      <c r="D145" s="9" t="n">
        <v>470</v>
      </c>
      <c r="E145" s="9" t="n">
        <v>26</v>
      </c>
      <c r="F145" s="9" t="n">
        <v>38</v>
      </c>
      <c r="G145" s="9" t="n">
        <v>24</v>
      </c>
      <c r="H145" s="10" t="n">
        <v>5.49</v>
      </c>
      <c r="I145" s="8" t="s">
        <v>63</v>
      </c>
      <c r="J145" s="8" t="s">
        <v>15</v>
      </c>
      <c r="K145" s="9" t="n">
        <f aca="false">IF(D145=0,0,ROUND(E145/D145*100,1))</f>
        <v>5.5</v>
      </c>
    </row>
    <row r="146" customFormat="false" ht="15" hidden="false" customHeight="true" outlineLevel="0" collapsed="false">
      <c r="A146" s="3" t="s">
        <v>263</v>
      </c>
      <c r="B146" s="4" t="s">
        <v>266</v>
      </c>
      <c r="C146" s="4" t="s">
        <v>13</v>
      </c>
      <c r="D146" s="5" t="n">
        <v>710</v>
      </c>
      <c r="E146" s="5" t="n">
        <v>26</v>
      </c>
      <c r="F146" s="5" t="n">
        <v>79</v>
      </c>
      <c r="G146" s="5" t="n">
        <v>32</v>
      </c>
      <c r="H146" s="6" t="n">
        <v>6.99</v>
      </c>
      <c r="I146" s="4" t="s">
        <v>63</v>
      </c>
      <c r="J146" s="4" t="s">
        <v>15</v>
      </c>
      <c r="K146" s="5" t="n">
        <f aca="false">IF(D146=0,0,ROUND(E146/D146*100,1))</f>
        <v>3.7</v>
      </c>
    </row>
    <row r="147" customFormat="false" ht="15" hidden="false" customHeight="true" outlineLevel="0" collapsed="false">
      <c r="A147" s="7" t="s">
        <v>263</v>
      </c>
      <c r="B147" s="8" t="s">
        <v>267</v>
      </c>
      <c r="C147" s="8" t="s">
        <v>268</v>
      </c>
      <c r="D147" s="9" t="n">
        <v>210</v>
      </c>
      <c r="E147" s="9" t="n">
        <v>38</v>
      </c>
      <c r="F147" s="9" t="n">
        <v>0</v>
      </c>
      <c r="G147" s="9" t="n">
        <v>7</v>
      </c>
      <c r="H147" s="10" t="n">
        <v>4.99</v>
      </c>
      <c r="I147" s="8" t="s">
        <v>63</v>
      </c>
      <c r="J147" s="8" t="s">
        <v>18</v>
      </c>
      <c r="K147" s="9" t="n">
        <f aca="false">IF(D147=0,0,ROUND(E147/D147*100,1))</f>
        <v>18.1</v>
      </c>
    </row>
    <row r="148" customFormat="false" ht="15" hidden="false" customHeight="true" outlineLevel="0" collapsed="false">
      <c r="A148" s="3" t="s">
        <v>263</v>
      </c>
      <c r="B148" s="4" t="s">
        <v>269</v>
      </c>
      <c r="C148" s="4" t="s">
        <v>268</v>
      </c>
      <c r="D148" s="5" t="n">
        <v>390</v>
      </c>
      <c r="E148" s="5" t="n">
        <v>39</v>
      </c>
      <c r="F148" s="5" t="n">
        <v>11</v>
      </c>
      <c r="G148" s="5" t="n">
        <v>21</v>
      </c>
      <c r="H148" s="6" t="n">
        <v>4.49</v>
      </c>
      <c r="I148" s="4" t="s">
        <v>63</v>
      </c>
      <c r="J148" s="4" t="s">
        <v>15</v>
      </c>
      <c r="K148" s="5" t="n">
        <f aca="false">IF(D148=0,0,ROUND(E148/D148*100,1))</f>
        <v>10</v>
      </c>
    </row>
    <row r="149" customFormat="false" ht="15" hidden="false" customHeight="true" outlineLevel="0" collapsed="false">
      <c r="A149" s="7" t="s">
        <v>270</v>
      </c>
      <c r="B149" s="8" t="s">
        <v>271</v>
      </c>
      <c r="C149" s="8" t="s">
        <v>155</v>
      </c>
      <c r="D149" s="9" t="n">
        <v>240</v>
      </c>
      <c r="E149" s="9" t="n">
        <v>3</v>
      </c>
      <c r="F149" s="9" t="n">
        <v>33</v>
      </c>
      <c r="G149" s="9" t="n">
        <v>11</v>
      </c>
      <c r="H149" s="10" t="n">
        <v>1.79</v>
      </c>
      <c r="I149" s="8" t="s">
        <v>24</v>
      </c>
      <c r="J149" s="8" t="s">
        <v>15</v>
      </c>
      <c r="K149" s="9" t="n">
        <f aca="false">IF(D149=0,0,ROUND(E149/D149*100,1))</f>
        <v>1.3</v>
      </c>
    </row>
    <row r="150" customFormat="false" ht="15" hidden="false" customHeight="true" outlineLevel="0" collapsed="false">
      <c r="A150" s="3" t="s">
        <v>270</v>
      </c>
      <c r="B150" s="4" t="s">
        <v>272</v>
      </c>
      <c r="C150" s="4" t="s">
        <v>155</v>
      </c>
      <c r="D150" s="5" t="n">
        <v>190</v>
      </c>
      <c r="E150" s="5" t="n">
        <v>3</v>
      </c>
      <c r="F150" s="5" t="n">
        <v>22</v>
      </c>
      <c r="G150" s="5" t="n">
        <v>11</v>
      </c>
      <c r="H150" s="6" t="n">
        <v>1.49</v>
      </c>
      <c r="I150" s="4" t="s">
        <v>24</v>
      </c>
      <c r="J150" s="4" t="s">
        <v>15</v>
      </c>
      <c r="K150" s="5" t="n">
        <f aca="false">IF(D150=0,0,ROUND(E150/D150*100,1))</f>
        <v>1.6</v>
      </c>
    </row>
    <row r="151" customFormat="false" ht="15" hidden="false" customHeight="true" outlineLevel="0" collapsed="false">
      <c r="A151" s="7" t="s">
        <v>273</v>
      </c>
      <c r="B151" s="8" t="s">
        <v>274</v>
      </c>
      <c r="C151" s="8" t="s">
        <v>13</v>
      </c>
      <c r="D151" s="9" t="n">
        <v>410</v>
      </c>
      <c r="E151" s="9" t="n">
        <v>23</v>
      </c>
      <c r="F151" s="9" t="n">
        <v>26</v>
      </c>
      <c r="G151" s="9" t="n">
        <v>24</v>
      </c>
      <c r="H151" s="10" t="n">
        <v>5.39</v>
      </c>
      <c r="I151" s="8" t="s">
        <v>30</v>
      </c>
      <c r="J151" s="8" t="s">
        <v>15</v>
      </c>
      <c r="K151" s="9" t="n">
        <f aca="false">IF(D151=0,0,ROUND(E151/D151*100,1))</f>
        <v>5.6</v>
      </c>
    </row>
    <row r="152" customFormat="false" ht="15" hidden="false" customHeight="true" outlineLevel="0" collapsed="false">
      <c r="A152" s="3" t="s">
        <v>273</v>
      </c>
      <c r="B152" s="4" t="s">
        <v>275</v>
      </c>
      <c r="C152" s="4" t="s">
        <v>32</v>
      </c>
      <c r="D152" s="5" t="n">
        <v>590</v>
      </c>
      <c r="E152" s="5" t="n">
        <v>25</v>
      </c>
      <c r="F152" s="5" t="n">
        <v>46</v>
      </c>
      <c r="G152" s="5" t="n">
        <v>34</v>
      </c>
      <c r="H152" s="6" t="n">
        <v>6.29</v>
      </c>
      <c r="I152" s="4" t="s">
        <v>30</v>
      </c>
      <c r="J152" s="4" t="s">
        <v>15</v>
      </c>
      <c r="K152" s="5" t="n">
        <f aca="false">IF(D152=0,0,ROUND(E152/D152*100,1))</f>
        <v>4.2</v>
      </c>
    </row>
    <row r="153" customFormat="false" ht="15" hidden="false" customHeight="true" outlineLevel="0" collapsed="false">
      <c r="A153" s="7" t="s">
        <v>273</v>
      </c>
      <c r="B153" s="8" t="s">
        <v>276</v>
      </c>
      <c r="C153" s="8" t="s">
        <v>32</v>
      </c>
      <c r="D153" s="9" t="n">
        <v>390</v>
      </c>
      <c r="E153" s="9" t="n">
        <v>16</v>
      </c>
      <c r="F153" s="9" t="n">
        <v>39</v>
      </c>
      <c r="G153" s="9" t="n">
        <v>19</v>
      </c>
      <c r="H153" s="10" t="n">
        <v>4.79</v>
      </c>
      <c r="I153" s="8" t="s">
        <v>30</v>
      </c>
      <c r="J153" s="8" t="s">
        <v>15</v>
      </c>
      <c r="K153" s="9" t="n">
        <f aca="false">IF(D153=0,0,ROUND(E153/D153*100,1))</f>
        <v>4.1</v>
      </c>
    </row>
    <row r="154" customFormat="false" ht="15" hidden="false" customHeight="true" outlineLevel="0" collapsed="false">
      <c r="A154" s="3" t="s">
        <v>273</v>
      </c>
      <c r="B154" s="4" t="s">
        <v>224</v>
      </c>
      <c r="C154" s="4" t="s">
        <v>32</v>
      </c>
      <c r="D154" s="5" t="n">
        <v>250</v>
      </c>
      <c r="E154" s="5" t="n">
        <v>12</v>
      </c>
      <c r="F154" s="5" t="n">
        <v>32</v>
      </c>
      <c r="G154" s="5" t="n">
        <v>9</v>
      </c>
      <c r="H154" s="6" t="n">
        <v>2.49</v>
      </c>
      <c r="I154" s="4" t="s">
        <v>30</v>
      </c>
      <c r="J154" s="4" t="s">
        <v>15</v>
      </c>
      <c r="K154" s="5" t="n">
        <f aca="false">IF(D154=0,0,ROUND(E154/D154*100,1))</f>
        <v>4.8</v>
      </c>
    </row>
    <row r="155" customFormat="false" ht="15" hidden="false" customHeight="true" outlineLevel="0" collapsed="false">
      <c r="A155" s="7" t="s">
        <v>273</v>
      </c>
      <c r="B155" s="8" t="s">
        <v>277</v>
      </c>
      <c r="C155" s="8" t="s">
        <v>32</v>
      </c>
      <c r="D155" s="9" t="n">
        <v>400</v>
      </c>
      <c r="E155" s="9" t="n">
        <v>14</v>
      </c>
      <c r="F155" s="9" t="n">
        <v>39</v>
      </c>
      <c r="G155" s="9" t="n">
        <v>21</v>
      </c>
      <c r="H155" s="10" t="n">
        <v>2.79</v>
      </c>
      <c r="I155" s="8" t="s">
        <v>30</v>
      </c>
      <c r="J155" s="8" t="s">
        <v>15</v>
      </c>
      <c r="K155" s="9" t="n">
        <f aca="false">IF(D155=0,0,ROUND(E155/D155*100,1))</f>
        <v>3.5</v>
      </c>
    </row>
    <row r="156" customFormat="false" ht="15" hidden="false" customHeight="true" outlineLevel="0" collapsed="false">
      <c r="A156" s="3" t="s">
        <v>273</v>
      </c>
      <c r="B156" s="4" t="s">
        <v>278</v>
      </c>
      <c r="C156" s="4" t="s">
        <v>32</v>
      </c>
      <c r="D156" s="5" t="n">
        <v>470</v>
      </c>
      <c r="E156" s="5" t="n">
        <v>27</v>
      </c>
      <c r="F156" s="5" t="n">
        <v>46</v>
      </c>
      <c r="G156" s="5" t="n">
        <v>20</v>
      </c>
      <c r="H156" s="6" t="n">
        <v>5.19</v>
      </c>
      <c r="I156" s="4" t="s">
        <v>30</v>
      </c>
      <c r="J156" s="4" t="s">
        <v>15</v>
      </c>
      <c r="K156" s="5" t="n">
        <f aca="false">IF(D156=0,0,ROUND(E156/D156*100,1))</f>
        <v>5.7</v>
      </c>
    </row>
    <row r="157" customFormat="false" ht="15" hidden="false" customHeight="true" outlineLevel="0" collapsed="false">
      <c r="A157" s="7" t="s">
        <v>273</v>
      </c>
      <c r="B157" s="8" t="s">
        <v>279</v>
      </c>
      <c r="C157" s="8" t="s">
        <v>32</v>
      </c>
      <c r="D157" s="9" t="n">
        <v>400</v>
      </c>
      <c r="E157" s="9" t="n">
        <v>22</v>
      </c>
      <c r="F157" s="9" t="n">
        <v>33</v>
      </c>
      <c r="G157" s="9" t="n">
        <v>20</v>
      </c>
      <c r="H157" s="10" t="n">
        <v>3.19</v>
      </c>
      <c r="I157" s="8" t="s">
        <v>30</v>
      </c>
      <c r="J157" s="8" t="s">
        <v>15</v>
      </c>
      <c r="K157" s="9" t="n">
        <f aca="false">IF(D157=0,0,ROUND(E157/D157*100,1))</f>
        <v>5.5</v>
      </c>
    </row>
    <row r="158" customFormat="false" ht="15" hidden="false" customHeight="true" outlineLevel="0" collapsed="false">
      <c r="A158" s="3" t="s">
        <v>273</v>
      </c>
      <c r="B158" s="4" t="s">
        <v>280</v>
      </c>
      <c r="C158" s="4" t="s">
        <v>32</v>
      </c>
      <c r="D158" s="5" t="n">
        <v>520</v>
      </c>
      <c r="E158" s="5" t="n">
        <v>30</v>
      </c>
      <c r="F158" s="5" t="n">
        <v>42</v>
      </c>
      <c r="G158" s="5" t="n">
        <v>26</v>
      </c>
      <c r="H158" s="6" t="n">
        <v>5.69</v>
      </c>
      <c r="I158" s="4" t="s">
        <v>30</v>
      </c>
      <c r="J158" s="4" t="s">
        <v>15</v>
      </c>
      <c r="K158" s="5" t="n">
        <f aca="false">IF(D158=0,0,ROUND(E158/D158*100,1))</f>
        <v>5.8</v>
      </c>
    </row>
    <row r="159" customFormat="false" ht="15" hidden="false" customHeight="true" outlineLevel="0" collapsed="false">
      <c r="A159" s="7" t="s">
        <v>281</v>
      </c>
      <c r="B159" s="8" t="s">
        <v>282</v>
      </c>
      <c r="C159" s="8" t="s">
        <v>283</v>
      </c>
      <c r="D159" s="9" t="n">
        <v>1110</v>
      </c>
      <c r="E159" s="9" t="n">
        <v>39</v>
      </c>
      <c r="F159" s="9" t="n">
        <v>133</v>
      </c>
      <c r="G159" s="9" t="n">
        <v>47</v>
      </c>
      <c r="H159" s="10" t="n">
        <v>8.4</v>
      </c>
      <c r="I159" s="8" t="s">
        <v>284</v>
      </c>
      <c r="J159" s="8" t="s">
        <v>75</v>
      </c>
      <c r="K159" s="9" t="n">
        <f aca="false">IF(D159=0,0,ROUND(E159/D159*100,1))</f>
        <v>3.5</v>
      </c>
    </row>
    <row r="160" customFormat="false" ht="15" hidden="false" customHeight="true" outlineLevel="0" collapsed="false">
      <c r="A160" s="3" t="s">
        <v>281</v>
      </c>
      <c r="B160" s="4" t="s">
        <v>285</v>
      </c>
      <c r="C160" s="4" t="s">
        <v>286</v>
      </c>
      <c r="D160" s="5" t="n">
        <v>405</v>
      </c>
      <c r="E160" s="5" t="n">
        <v>42</v>
      </c>
      <c r="F160" s="5" t="n">
        <v>28</v>
      </c>
      <c r="G160" s="5" t="n">
        <v>14</v>
      </c>
      <c r="H160" s="6" t="n">
        <v>8.4</v>
      </c>
      <c r="I160" s="4" t="s">
        <v>284</v>
      </c>
      <c r="J160" s="4" t="s">
        <v>287</v>
      </c>
      <c r="K160" s="5" t="n">
        <f aca="false">IF(D160=0,0,ROUND(E160/D160*100,1))</f>
        <v>10.4</v>
      </c>
    </row>
    <row r="161" customFormat="false" ht="15" hidden="false" customHeight="true" outlineLevel="0" collapsed="false">
      <c r="A161" s="7" t="s">
        <v>281</v>
      </c>
      <c r="B161" s="8" t="s">
        <v>288</v>
      </c>
      <c r="C161" s="8" t="s">
        <v>289</v>
      </c>
      <c r="D161" s="9" t="n">
        <v>470</v>
      </c>
      <c r="E161" s="9" t="n">
        <v>14</v>
      </c>
      <c r="F161" s="9" t="n">
        <v>46</v>
      </c>
      <c r="G161" s="9" t="n">
        <v>26</v>
      </c>
      <c r="H161" s="10" t="n">
        <v>4.4</v>
      </c>
      <c r="I161" s="8" t="s">
        <v>284</v>
      </c>
      <c r="J161" s="8" t="s">
        <v>290</v>
      </c>
      <c r="K161" s="9" t="n">
        <f aca="false">IF(D161=0,0,ROUND(E161/D161*100,1))</f>
        <v>3</v>
      </c>
    </row>
    <row r="162" customFormat="false" ht="15" hidden="false" customHeight="true" outlineLevel="0" collapsed="false">
      <c r="A162" s="3" t="s">
        <v>281</v>
      </c>
      <c r="B162" s="4" t="s">
        <v>291</v>
      </c>
      <c r="C162" s="4" t="s">
        <v>289</v>
      </c>
      <c r="D162" s="5" t="n">
        <v>210</v>
      </c>
      <c r="E162" s="5" t="n">
        <v>19</v>
      </c>
      <c r="F162" s="5" t="n">
        <v>13</v>
      </c>
      <c r="G162" s="5" t="n">
        <v>10</v>
      </c>
      <c r="H162" s="6" t="n">
        <v>5.2</v>
      </c>
      <c r="I162" s="4" t="s">
        <v>284</v>
      </c>
      <c r="J162" s="4" t="s">
        <v>18</v>
      </c>
      <c r="K162" s="5" t="n">
        <f aca="false">IF(D162=0,0,ROUND(E162/D162*100,1))</f>
        <v>9</v>
      </c>
    </row>
    <row r="163" customFormat="false" ht="15" hidden="false" customHeight="true" outlineLevel="0" collapsed="false">
      <c r="A163" s="7" t="s">
        <v>281</v>
      </c>
      <c r="B163" s="8" t="s">
        <v>292</v>
      </c>
      <c r="C163" s="8" t="s">
        <v>289</v>
      </c>
      <c r="D163" s="9" t="n">
        <v>280</v>
      </c>
      <c r="E163" s="9" t="n">
        <v>15</v>
      </c>
      <c r="F163" s="9" t="n">
        <v>15</v>
      </c>
      <c r="G163" s="9" t="n">
        <v>19</v>
      </c>
      <c r="H163" s="10" t="n">
        <v>4.4</v>
      </c>
      <c r="I163" s="8" t="s">
        <v>284</v>
      </c>
      <c r="J163" s="8" t="s">
        <v>15</v>
      </c>
      <c r="K163" s="9" t="n">
        <f aca="false">IF(D163=0,0,ROUND(E163/D163*100,1))</f>
        <v>5.4</v>
      </c>
    </row>
    <row r="164" customFormat="false" ht="15" hidden="false" customHeight="true" outlineLevel="0" collapsed="false">
      <c r="A164" s="3" t="s">
        <v>281</v>
      </c>
      <c r="B164" s="4" t="s">
        <v>293</v>
      </c>
      <c r="C164" s="4" t="s">
        <v>289</v>
      </c>
      <c r="D164" s="5" t="n">
        <v>150</v>
      </c>
      <c r="E164" s="5" t="n">
        <v>9</v>
      </c>
      <c r="F164" s="5" t="n">
        <v>13</v>
      </c>
      <c r="G164" s="5" t="n">
        <v>7</v>
      </c>
      <c r="H164" s="6" t="n">
        <v>4.4</v>
      </c>
      <c r="I164" s="4" t="s">
        <v>284</v>
      </c>
      <c r="J164" s="4" t="s">
        <v>294</v>
      </c>
      <c r="K164" s="5" t="n">
        <f aca="false">IF(D164=0,0,ROUND(E164/D164*100,1))</f>
        <v>6</v>
      </c>
    </row>
    <row r="165" customFormat="false" ht="15" hidden="false" customHeight="true" outlineLevel="0" collapsed="false">
      <c r="A165" s="7" t="s">
        <v>281</v>
      </c>
      <c r="B165" s="8" t="s">
        <v>295</v>
      </c>
      <c r="C165" s="8" t="s">
        <v>94</v>
      </c>
      <c r="D165" s="9" t="n">
        <v>420</v>
      </c>
      <c r="E165" s="9" t="n">
        <v>9</v>
      </c>
      <c r="F165" s="9" t="n">
        <v>86</v>
      </c>
      <c r="G165" s="9" t="n">
        <v>4</v>
      </c>
      <c r="H165" s="10" t="n">
        <v>3.95</v>
      </c>
      <c r="I165" s="8" t="s">
        <v>284</v>
      </c>
      <c r="J165" s="8" t="s">
        <v>15</v>
      </c>
      <c r="K165" s="9" t="n">
        <f aca="false">IF(D165=0,0,ROUND(E165/D165*100,1))</f>
        <v>2.1</v>
      </c>
    </row>
    <row r="166" customFormat="false" ht="15" hidden="false" customHeight="true" outlineLevel="0" collapsed="false">
      <c r="A166" s="3" t="s">
        <v>281</v>
      </c>
      <c r="B166" s="4" t="s">
        <v>296</v>
      </c>
      <c r="C166" s="4" t="s">
        <v>297</v>
      </c>
      <c r="D166" s="5" t="n">
        <v>200</v>
      </c>
      <c r="E166" s="5" t="n">
        <v>7</v>
      </c>
      <c r="F166" s="5" t="n">
        <v>20</v>
      </c>
      <c r="G166" s="5" t="n">
        <v>10</v>
      </c>
      <c r="H166" s="6" t="n">
        <v>2</v>
      </c>
      <c r="I166" s="4" t="s">
        <v>284</v>
      </c>
      <c r="J166" s="4" t="s">
        <v>15</v>
      </c>
      <c r="K166" s="5" t="n">
        <f aca="false">IF(D166=0,0,ROUND(E166/D166*100,1))</f>
        <v>3.5</v>
      </c>
    </row>
    <row r="167" customFormat="false" ht="15" hidden="false" customHeight="true" outlineLevel="0" collapsed="false">
      <c r="A167" s="7" t="s">
        <v>281</v>
      </c>
      <c r="B167" s="8" t="s">
        <v>298</v>
      </c>
      <c r="C167" s="8" t="s">
        <v>299</v>
      </c>
      <c r="D167" s="9" t="n">
        <v>220</v>
      </c>
      <c r="E167" s="9" t="n">
        <v>7</v>
      </c>
      <c r="F167" s="9" t="n">
        <v>24</v>
      </c>
      <c r="G167" s="9" t="n">
        <v>11</v>
      </c>
      <c r="H167" s="10" t="n">
        <v>2.5</v>
      </c>
      <c r="I167" s="8" t="s">
        <v>284</v>
      </c>
      <c r="J167" s="8" t="s">
        <v>15</v>
      </c>
      <c r="K167" s="9" t="n">
        <f aca="false">IF(D167=0,0,ROUND(E167/D167*100,1))</f>
        <v>3.2</v>
      </c>
    </row>
    <row r="168" customFormat="false" ht="15" hidden="false" customHeight="true" outlineLevel="0" collapsed="false">
      <c r="A168" s="3" t="s">
        <v>281</v>
      </c>
      <c r="B168" s="4" t="s">
        <v>300</v>
      </c>
      <c r="C168" s="4" t="s">
        <v>94</v>
      </c>
      <c r="D168" s="5" t="n">
        <v>600</v>
      </c>
      <c r="E168" s="5" t="n">
        <v>13</v>
      </c>
      <c r="F168" s="5" t="n">
        <v>80</v>
      </c>
      <c r="G168" s="5" t="n">
        <v>23</v>
      </c>
      <c r="H168" s="6" t="n">
        <v>3.95</v>
      </c>
      <c r="I168" s="4" t="s">
        <v>284</v>
      </c>
      <c r="J168" s="4" t="s">
        <v>15</v>
      </c>
      <c r="K168" s="5" t="n">
        <f aca="false">IF(D168=0,0,ROUND(E168/D168*100,1))</f>
        <v>2.2</v>
      </c>
    </row>
    <row r="169" customFormat="false" ht="15" hidden="false" customHeight="true" outlineLevel="0" collapsed="false">
      <c r="A169" s="7" t="s">
        <v>281</v>
      </c>
      <c r="B169" s="8" t="s">
        <v>301</v>
      </c>
      <c r="C169" s="8" t="s">
        <v>299</v>
      </c>
      <c r="D169" s="9" t="n">
        <v>190</v>
      </c>
      <c r="E169" s="9" t="n">
        <v>5</v>
      </c>
      <c r="F169" s="9" t="n">
        <v>24</v>
      </c>
      <c r="G169" s="9" t="n">
        <v>8</v>
      </c>
      <c r="H169" s="10" t="n">
        <v>2</v>
      </c>
      <c r="I169" s="8" t="s">
        <v>284</v>
      </c>
      <c r="J169" s="8" t="s">
        <v>15</v>
      </c>
      <c r="K169" s="9" t="n">
        <f aca="false">IF(D169=0,0,ROUND(E169/D169*100,1))</f>
        <v>2.6</v>
      </c>
    </row>
    <row r="170" customFormat="false" ht="15" hidden="false" customHeight="true" outlineLevel="0" collapsed="false">
      <c r="A170" s="3" t="s">
        <v>281</v>
      </c>
      <c r="B170" s="4" t="s">
        <v>302</v>
      </c>
      <c r="C170" s="4" t="s">
        <v>289</v>
      </c>
      <c r="D170" s="5" t="n">
        <v>340</v>
      </c>
      <c r="E170" s="5" t="n">
        <v>7</v>
      </c>
      <c r="F170" s="5" t="n">
        <v>40</v>
      </c>
      <c r="G170" s="5" t="n">
        <v>17</v>
      </c>
      <c r="H170" s="6" t="n">
        <v>4.4</v>
      </c>
      <c r="I170" s="4" t="s">
        <v>284</v>
      </c>
      <c r="J170" s="4" t="s">
        <v>35</v>
      </c>
      <c r="K170" s="5" t="n">
        <f aca="false">IF(D170=0,0,ROUND(E170/D170*100,1))</f>
        <v>2.1</v>
      </c>
    </row>
    <row r="171" customFormat="false" ht="15" hidden="false" customHeight="true" outlineLevel="0" collapsed="false">
      <c r="A171" s="7" t="s">
        <v>281</v>
      </c>
      <c r="B171" s="8" t="s">
        <v>303</v>
      </c>
      <c r="C171" s="8" t="s">
        <v>94</v>
      </c>
      <c r="D171" s="9" t="n">
        <v>620</v>
      </c>
      <c r="E171" s="9" t="n">
        <v>13</v>
      </c>
      <c r="F171" s="9" t="n">
        <v>101</v>
      </c>
      <c r="G171" s="9" t="n">
        <v>19</v>
      </c>
      <c r="H171" s="10" t="n">
        <v>3.95</v>
      </c>
      <c r="I171" s="8" t="s">
        <v>284</v>
      </c>
      <c r="J171" s="8" t="s">
        <v>304</v>
      </c>
      <c r="K171" s="9" t="n">
        <f aca="false">IF(D171=0,0,ROUND(E171/D171*100,1))</f>
        <v>2.1</v>
      </c>
    </row>
    <row r="172" customFormat="false" ht="15" hidden="false" customHeight="true" outlineLevel="0" collapsed="false">
      <c r="A172" s="3" t="s">
        <v>281</v>
      </c>
      <c r="B172" s="4" t="s">
        <v>305</v>
      </c>
      <c r="C172" s="4" t="s">
        <v>289</v>
      </c>
      <c r="D172" s="5" t="n">
        <v>275</v>
      </c>
      <c r="E172" s="5" t="n">
        <v>33</v>
      </c>
      <c r="F172" s="5" t="n">
        <v>14</v>
      </c>
      <c r="G172" s="5" t="n">
        <v>10</v>
      </c>
      <c r="H172" s="6" t="n">
        <v>4.4</v>
      </c>
      <c r="I172" s="4" t="s">
        <v>284</v>
      </c>
      <c r="J172" s="4" t="s">
        <v>306</v>
      </c>
      <c r="K172" s="5" t="n">
        <f aca="false">IF(D172=0,0,ROUND(E172/D172*100,1))</f>
        <v>12</v>
      </c>
    </row>
    <row r="173" customFormat="false" ht="15" hidden="false" customHeight="true" outlineLevel="0" collapsed="false">
      <c r="A173" s="7" t="s">
        <v>281</v>
      </c>
      <c r="B173" s="8" t="s">
        <v>307</v>
      </c>
      <c r="C173" s="8" t="s">
        <v>289</v>
      </c>
      <c r="D173" s="9" t="n">
        <v>340</v>
      </c>
      <c r="E173" s="9" t="n">
        <v>16</v>
      </c>
      <c r="F173" s="9" t="n">
        <v>36</v>
      </c>
      <c r="G173" s="9" t="n">
        <v>15</v>
      </c>
      <c r="H173" s="10" t="n">
        <v>4.4</v>
      </c>
      <c r="I173" s="8" t="s">
        <v>284</v>
      </c>
      <c r="J173" s="8" t="s">
        <v>15</v>
      </c>
      <c r="K173" s="9" t="n">
        <f aca="false">IF(D173=0,0,ROUND(E173/D173*100,1))</f>
        <v>4.7</v>
      </c>
    </row>
    <row r="174" customFormat="false" ht="15" hidden="false" customHeight="true" outlineLevel="0" collapsed="false">
      <c r="A174" s="3" t="s">
        <v>281</v>
      </c>
      <c r="B174" s="4" t="s">
        <v>308</v>
      </c>
      <c r="C174" s="4" t="s">
        <v>289</v>
      </c>
      <c r="D174" s="5" t="n">
        <v>360</v>
      </c>
      <c r="E174" s="5" t="n">
        <v>13</v>
      </c>
      <c r="F174" s="5" t="n">
        <v>35</v>
      </c>
      <c r="G174" s="5" t="n">
        <v>23</v>
      </c>
      <c r="H174" s="6" t="n">
        <v>5.2</v>
      </c>
      <c r="I174" s="4" t="s">
        <v>284</v>
      </c>
      <c r="J174" s="4" t="s">
        <v>15</v>
      </c>
      <c r="K174" s="5" t="n">
        <f aca="false">IF(D174=0,0,ROUND(E174/D174*100,1))</f>
        <v>3.6</v>
      </c>
    </row>
    <row r="175" customFormat="false" ht="15" hidden="false" customHeight="true" outlineLevel="0" collapsed="false">
      <c r="A175" s="7" t="s">
        <v>281</v>
      </c>
      <c r="B175" s="8" t="s">
        <v>309</v>
      </c>
      <c r="C175" s="8" t="s">
        <v>289</v>
      </c>
      <c r="D175" s="9" t="n">
        <v>320</v>
      </c>
      <c r="E175" s="9" t="n">
        <v>17</v>
      </c>
      <c r="F175" s="9" t="n">
        <v>15</v>
      </c>
      <c r="G175" s="9" t="n">
        <v>21</v>
      </c>
      <c r="H175" s="10" t="n">
        <v>4.4</v>
      </c>
      <c r="I175" s="8" t="s">
        <v>284</v>
      </c>
      <c r="J175" s="8" t="s">
        <v>310</v>
      </c>
      <c r="K175" s="9" t="n">
        <f aca="false">IF(D175=0,0,ROUND(E175/D175*100,1))</f>
        <v>5.3</v>
      </c>
    </row>
    <row r="176" customFormat="false" ht="15" hidden="false" customHeight="true" outlineLevel="0" collapsed="false">
      <c r="A176" s="3" t="s">
        <v>281</v>
      </c>
      <c r="B176" s="4" t="s">
        <v>311</v>
      </c>
      <c r="C176" s="4" t="s">
        <v>289</v>
      </c>
      <c r="D176" s="5" t="n">
        <v>220</v>
      </c>
      <c r="E176" s="5" t="n">
        <v>13</v>
      </c>
      <c r="F176" s="5" t="n">
        <v>10</v>
      </c>
      <c r="G176" s="5" t="n">
        <v>14</v>
      </c>
      <c r="H176" s="6" t="n">
        <v>4.4</v>
      </c>
      <c r="I176" s="4" t="s">
        <v>284</v>
      </c>
      <c r="J176" s="4" t="s">
        <v>15</v>
      </c>
      <c r="K176" s="5" t="n">
        <f aca="false">IF(D176=0,0,ROUND(E176/D176*100,1))</f>
        <v>5.9</v>
      </c>
    </row>
    <row r="177" customFormat="false" ht="15" hidden="false" customHeight="true" outlineLevel="0" collapsed="false">
      <c r="A177" s="7" t="s">
        <v>281</v>
      </c>
      <c r="B177" s="8" t="s">
        <v>312</v>
      </c>
      <c r="C177" s="8" t="s">
        <v>289</v>
      </c>
      <c r="D177" s="9" t="n">
        <v>510</v>
      </c>
      <c r="E177" s="9" t="n">
        <v>26</v>
      </c>
      <c r="F177" s="9" t="n">
        <v>53</v>
      </c>
      <c r="G177" s="9" t="n">
        <v>24</v>
      </c>
      <c r="H177" s="10" t="n">
        <v>4.4</v>
      </c>
      <c r="I177" s="8" t="s">
        <v>284</v>
      </c>
      <c r="J177" s="8" t="s">
        <v>313</v>
      </c>
      <c r="K177" s="9" t="n">
        <f aca="false">IF(D177=0,0,ROUND(E177/D177*100,1))</f>
        <v>5.1</v>
      </c>
    </row>
    <row r="178" customFormat="false" ht="15" hidden="false" customHeight="true" outlineLevel="0" collapsed="false">
      <c r="A178" s="3" t="s">
        <v>281</v>
      </c>
      <c r="B178" s="4" t="s">
        <v>314</v>
      </c>
      <c r="C178" s="4" t="s">
        <v>315</v>
      </c>
      <c r="D178" s="5" t="n">
        <v>1045</v>
      </c>
      <c r="E178" s="5" t="n">
        <v>55</v>
      </c>
      <c r="F178" s="5" t="n">
        <v>128</v>
      </c>
      <c r="G178" s="5" t="n">
        <v>36</v>
      </c>
      <c r="H178" s="6" t="n">
        <v>9.4</v>
      </c>
      <c r="I178" s="4" t="s">
        <v>284</v>
      </c>
      <c r="J178" s="4" t="s">
        <v>75</v>
      </c>
      <c r="K178" s="5" t="n">
        <f aca="false">IF(D178=0,0,ROUND(E178/D178*100,1))</f>
        <v>5.3</v>
      </c>
    </row>
    <row r="179" customFormat="false" ht="15" hidden="false" customHeight="true" outlineLevel="0" collapsed="false">
      <c r="A179" s="7" t="s">
        <v>281</v>
      </c>
      <c r="B179" s="8" t="s">
        <v>316</v>
      </c>
      <c r="C179" s="8" t="s">
        <v>289</v>
      </c>
      <c r="D179" s="9" t="n">
        <v>310</v>
      </c>
      <c r="E179" s="9" t="n">
        <v>17</v>
      </c>
      <c r="F179" s="9" t="n">
        <v>28</v>
      </c>
      <c r="G179" s="9" t="n">
        <v>15</v>
      </c>
      <c r="H179" s="10" t="n">
        <v>5.2</v>
      </c>
      <c r="I179" s="8" t="s">
        <v>284</v>
      </c>
      <c r="J179" s="8" t="s">
        <v>15</v>
      </c>
      <c r="K179" s="9" t="n">
        <f aca="false">IF(D179=0,0,ROUND(E179/D179*100,1))</f>
        <v>5.5</v>
      </c>
    </row>
    <row r="180" customFormat="false" ht="15" hidden="false" customHeight="true" outlineLevel="0" collapsed="false">
      <c r="A180" s="3" t="s">
        <v>281</v>
      </c>
      <c r="B180" s="4" t="s">
        <v>317</v>
      </c>
      <c r="C180" s="4" t="s">
        <v>289</v>
      </c>
      <c r="D180" s="5" t="n">
        <v>210</v>
      </c>
      <c r="E180" s="5" t="n">
        <v>14</v>
      </c>
      <c r="F180" s="5" t="n">
        <v>13</v>
      </c>
      <c r="G180" s="5" t="n">
        <v>9</v>
      </c>
      <c r="H180" s="6" t="n">
        <v>4.4</v>
      </c>
      <c r="I180" s="4" t="s">
        <v>284</v>
      </c>
      <c r="J180" s="4" t="s">
        <v>318</v>
      </c>
      <c r="K180" s="5" t="n">
        <f aca="false">IF(D180=0,0,ROUND(E180/D180*100,1))</f>
        <v>6.7</v>
      </c>
    </row>
    <row r="181" customFormat="false" ht="15" hidden="false" customHeight="true" outlineLevel="0" collapsed="false">
      <c r="A181" s="7" t="s">
        <v>281</v>
      </c>
      <c r="B181" s="8" t="s">
        <v>319</v>
      </c>
      <c r="C181" s="8" t="s">
        <v>94</v>
      </c>
      <c r="D181" s="9" t="n">
        <v>130</v>
      </c>
      <c r="E181" s="9" t="n">
        <v>9</v>
      </c>
      <c r="F181" s="9" t="n">
        <v>14</v>
      </c>
      <c r="G181" s="9" t="n">
        <v>4</v>
      </c>
      <c r="H181" s="10" t="n">
        <v>3.95</v>
      </c>
      <c r="I181" s="8" t="s">
        <v>284</v>
      </c>
      <c r="J181" s="8" t="s">
        <v>320</v>
      </c>
      <c r="K181" s="9" t="n">
        <f aca="false">IF(D181=0,0,ROUND(E181/D181*100,1))</f>
        <v>6.9</v>
      </c>
    </row>
    <row r="182" customFormat="false" ht="15" hidden="false" customHeight="true" outlineLevel="0" collapsed="false">
      <c r="A182" s="3" t="s">
        <v>281</v>
      </c>
      <c r="B182" s="4" t="s">
        <v>321</v>
      </c>
      <c r="C182" s="4" t="s">
        <v>289</v>
      </c>
      <c r="D182" s="5" t="n">
        <v>130</v>
      </c>
      <c r="E182" s="5" t="n">
        <v>9</v>
      </c>
      <c r="F182" s="5" t="n">
        <v>14</v>
      </c>
      <c r="G182" s="5" t="n">
        <v>4</v>
      </c>
      <c r="H182" s="6" t="n">
        <v>4.4</v>
      </c>
      <c r="I182" s="4" t="s">
        <v>284</v>
      </c>
      <c r="J182" s="4" t="s">
        <v>322</v>
      </c>
      <c r="K182" s="5" t="n">
        <f aca="false">IF(D182=0,0,ROUND(E182/D182*100,1))</f>
        <v>6.9</v>
      </c>
    </row>
    <row r="183" customFormat="false" ht="15" hidden="false" customHeight="true" outlineLevel="0" collapsed="false">
      <c r="A183" s="7" t="s">
        <v>281</v>
      </c>
      <c r="B183" s="8" t="s">
        <v>323</v>
      </c>
      <c r="C183" s="8" t="s">
        <v>289</v>
      </c>
      <c r="D183" s="9" t="n">
        <v>380</v>
      </c>
      <c r="E183" s="9" t="n">
        <v>15</v>
      </c>
      <c r="F183" s="9" t="n">
        <v>55</v>
      </c>
      <c r="G183" s="9" t="n">
        <v>12</v>
      </c>
      <c r="H183" s="10" t="n">
        <v>4.4</v>
      </c>
      <c r="I183" s="8" t="s">
        <v>284</v>
      </c>
      <c r="J183" s="8" t="s">
        <v>15</v>
      </c>
      <c r="K183" s="9" t="n">
        <f aca="false">IF(D183=0,0,ROUND(E183/D183*100,1))</f>
        <v>3.9</v>
      </c>
    </row>
    <row r="184" customFormat="false" ht="15" hidden="false" customHeight="true" outlineLevel="0" collapsed="false">
      <c r="A184" s="3" t="s">
        <v>281</v>
      </c>
      <c r="B184" s="4" t="s">
        <v>324</v>
      </c>
      <c r="C184" s="4" t="s">
        <v>94</v>
      </c>
      <c r="D184" s="5" t="n">
        <v>380</v>
      </c>
      <c r="E184" s="5" t="n">
        <v>7</v>
      </c>
      <c r="F184" s="5" t="n">
        <v>87</v>
      </c>
      <c r="G184" s="5" t="n">
        <v>0</v>
      </c>
      <c r="H184" s="6" t="n">
        <v>3.95</v>
      </c>
      <c r="I184" s="4" t="s">
        <v>284</v>
      </c>
      <c r="J184" s="4" t="s">
        <v>15</v>
      </c>
      <c r="K184" s="5" t="n">
        <f aca="false">IF(D184=0,0,ROUND(E184/D184*100,1))</f>
        <v>1.8</v>
      </c>
    </row>
    <row r="185" customFormat="false" ht="15" hidden="false" customHeight="true" outlineLevel="0" collapsed="false">
      <c r="A185" s="7" t="s">
        <v>325</v>
      </c>
      <c r="B185" s="8" t="s">
        <v>326</v>
      </c>
      <c r="C185" s="8" t="s">
        <v>327</v>
      </c>
      <c r="D185" s="9" t="n">
        <v>170</v>
      </c>
      <c r="E185" s="9" t="n">
        <v>32</v>
      </c>
      <c r="F185" s="9" t="n">
        <v>2</v>
      </c>
      <c r="G185" s="9" t="n">
        <v>3.5</v>
      </c>
      <c r="H185" s="10" t="n">
        <v>6.49</v>
      </c>
      <c r="I185" s="8" t="s">
        <v>63</v>
      </c>
      <c r="J185" s="8" t="s">
        <v>18</v>
      </c>
      <c r="K185" s="9" t="n">
        <f aca="false">IF(D185=0,0,ROUND(E185/D185*100,1))</f>
        <v>18.8</v>
      </c>
    </row>
    <row r="186" customFormat="false" ht="15" hidden="false" customHeight="true" outlineLevel="0" collapsed="false">
      <c r="A186" s="3" t="s">
        <v>325</v>
      </c>
      <c r="B186" s="4" t="s">
        <v>328</v>
      </c>
      <c r="C186" s="4" t="s">
        <v>329</v>
      </c>
      <c r="D186" s="5" t="n">
        <v>380</v>
      </c>
      <c r="E186" s="5" t="n">
        <v>35</v>
      </c>
      <c r="F186" s="5" t="n">
        <v>16</v>
      </c>
      <c r="G186" s="5" t="n">
        <v>20</v>
      </c>
      <c r="H186" s="6" t="n">
        <v>4.99</v>
      </c>
      <c r="I186" s="4" t="s">
        <v>63</v>
      </c>
      <c r="J186" s="4" t="s">
        <v>15</v>
      </c>
      <c r="K186" s="5" t="n">
        <f aca="false">IF(D186=0,0,ROUND(E186/D186*100,1))</f>
        <v>9.2</v>
      </c>
    </row>
    <row r="187" customFormat="false" ht="15" hidden="false" customHeight="true" outlineLevel="0" collapsed="false">
      <c r="A187" s="7" t="s">
        <v>325</v>
      </c>
      <c r="B187" s="8" t="s">
        <v>330</v>
      </c>
      <c r="C187" s="8" t="s">
        <v>185</v>
      </c>
      <c r="D187" s="9" t="n">
        <v>230</v>
      </c>
      <c r="E187" s="9" t="n">
        <v>6</v>
      </c>
      <c r="F187" s="9" t="n">
        <v>31</v>
      </c>
      <c r="G187" s="9" t="n">
        <v>10</v>
      </c>
      <c r="H187" s="10" t="n">
        <v>3.49</v>
      </c>
      <c r="I187" s="8" t="s">
        <v>63</v>
      </c>
      <c r="J187" s="8" t="s">
        <v>331</v>
      </c>
      <c r="K187" s="9" t="n">
        <f aca="false">IF(D187=0,0,ROUND(E187/D187*100,1))</f>
        <v>2.6</v>
      </c>
    </row>
    <row r="188" customFormat="false" ht="15" hidden="false" customHeight="true" outlineLevel="0" collapsed="false">
      <c r="A188" s="3" t="s">
        <v>325</v>
      </c>
      <c r="B188" s="4" t="s">
        <v>71</v>
      </c>
      <c r="C188" s="4" t="s">
        <v>32</v>
      </c>
      <c r="D188" s="5" t="n">
        <v>700</v>
      </c>
      <c r="E188" s="5" t="n">
        <v>28</v>
      </c>
      <c r="F188" s="5" t="n">
        <v>50</v>
      </c>
      <c r="G188" s="5" t="n">
        <v>42</v>
      </c>
      <c r="H188" s="6" t="n">
        <v>5.49</v>
      </c>
      <c r="I188" s="4" t="s">
        <v>63</v>
      </c>
      <c r="J188" s="4" t="s">
        <v>15</v>
      </c>
      <c r="K188" s="5" t="n">
        <f aca="false">IF(D188=0,0,ROUND(E188/D188*100,1))</f>
        <v>4</v>
      </c>
    </row>
    <row r="189" customFormat="false" ht="15" hidden="false" customHeight="true" outlineLevel="0" collapsed="false">
      <c r="A189" s="7" t="s">
        <v>332</v>
      </c>
      <c r="B189" s="8" t="s">
        <v>333</v>
      </c>
      <c r="C189" s="8" t="s">
        <v>334</v>
      </c>
      <c r="D189" s="9" t="n">
        <v>1050</v>
      </c>
      <c r="E189" s="9" t="n">
        <v>36</v>
      </c>
      <c r="F189" s="9" t="n">
        <v>84</v>
      </c>
      <c r="G189" s="9" t="n">
        <v>60</v>
      </c>
      <c r="H189" s="10" t="n">
        <v>8.99</v>
      </c>
      <c r="I189" s="8" t="s">
        <v>63</v>
      </c>
      <c r="J189" s="8" t="s">
        <v>15</v>
      </c>
      <c r="K189" s="9" t="n">
        <f aca="false">IF(D189=0,0,ROUND(E189/D189*100,1))</f>
        <v>3.4</v>
      </c>
    </row>
    <row r="190" customFormat="false" ht="15" hidden="false" customHeight="true" outlineLevel="0" collapsed="false">
      <c r="A190" s="3" t="s">
        <v>332</v>
      </c>
      <c r="B190" s="4" t="s">
        <v>335</v>
      </c>
      <c r="C190" s="4" t="s">
        <v>336</v>
      </c>
      <c r="D190" s="5" t="n">
        <v>1190</v>
      </c>
      <c r="E190" s="5" t="n">
        <v>42</v>
      </c>
      <c r="F190" s="5" t="n">
        <v>96</v>
      </c>
      <c r="G190" s="5" t="n">
        <v>68</v>
      </c>
      <c r="H190" s="6" t="n">
        <v>9.99</v>
      </c>
      <c r="I190" s="4" t="s">
        <v>63</v>
      </c>
      <c r="J190" s="4" t="s">
        <v>15</v>
      </c>
      <c r="K190" s="5" t="n">
        <f aca="false">IF(D190=0,0,ROUND(E190/D190*100,1))</f>
        <v>3.5</v>
      </c>
    </row>
    <row r="191" customFormat="false" ht="15" hidden="false" customHeight="true" outlineLevel="0" collapsed="false">
      <c r="A191" s="7" t="s">
        <v>332</v>
      </c>
      <c r="B191" s="8" t="s">
        <v>337</v>
      </c>
      <c r="C191" s="8" t="s">
        <v>338</v>
      </c>
      <c r="D191" s="9" t="n">
        <v>330</v>
      </c>
      <c r="E191" s="9" t="n">
        <v>30</v>
      </c>
      <c r="F191" s="9" t="n">
        <v>16</v>
      </c>
      <c r="G191" s="9" t="n">
        <v>17</v>
      </c>
      <c r="H191" s="10" t="n">
        <v>5.49</v>
      </c>
      <c r="I191" s="8" t="s">
        <v>63</v>
      </c>
      <c r="J191" s="8" t="s">
        <v>15</v>
      </c>
      <c r="K191" s="9" t="n">
        <f aca="false">IF(D191=0,0,ROUND(E191/D191*100,1))</f>
        <v>9.1</v>
      </c>
    </row>
    <row r="192" customFormat="false" ht="15" hidden="false" customHeight="true" outlineLevel="0" collapsed="false">
      <c r="A192" s="3" t="s">
        <v>339</v>
      </c>
      <c r="B192" s="4" t="s">
        <v>340</v>
      </c>
      <c r="C192" s="4" t="s">
        <v>13</v>
      </c>
      <c r="D192" s="5" t="n">
        <v>550</v>
      </c>
      <c r="E192" s="5" t="n">
        <v>32</v>
      </c>
      <c r="F192" s="5" t="n">
        <v>46</v>
      </c>
      <c r="G192" s="5" t="n">
        <v>29</v>
      </c>
      <c r="H192" s="6" t="n">
        <v>8.29</v>
      </c>
      <c r="I192" s="4" t="s">
        <v>30</v>
      </c>
      <c r="J192" s="4" t="s">
        <v>15</v>
      </c>
      <c r="K192" s="5" t="n">
        <f aca="false">IF(D192=0,0,ROUND(E192/D192*100,1))</f>
        <v>5.8</v>
      </c>
    </row>
    <row r="193" customFormat="false" ht="15" hidden="false" customHeight="true" outlineLevel="0" collapsed="false">
      <c r="A193" s="7" t="s">
        <v>339</v>
      </c>
      <c r="B193" s="8" t="s">
        <v>224</v>
      </c>
      <c r="C193" s="8" t="s">
        <v>38</v>
      </c>
      <c r="D193" s="9" t="n">
        <v>430</v>
      </c>
      <c r="E193" s="9" t="n">
        <v>24</v>
      </c>
      <c r="F193" s="9" t="n">
        <v>28</v>
      </c>
      <c r="G193" s="9" t="n">
        <v>25</v>
      </c>
      <c r="H193" s="10" t="n">
        <v>6.59</v>
      </c>
      <c r="I193" s="8" t="s">
        <v>30</v>
      </c>
      <c r="J193" s="8" t="s">
        <v>15</v>
      </c>
      <c r="K193" s="9" t="n">
        <f aca="false">IF(D193=0,0,ROUND(E193/D193*100,1))</f>
        <v>5.6</v>
      </c>
    </row>
    <row r="194" customFormat="false" ht="15" hidden="false" customHeight="true" outlineLevel="0" collapsed="false">
      <c r="A194" s="3" t="s">
        <v>339</v>
      </c>
      <c r="B194" s="4" t="s">
        <v>341</v>
      </c>
      <c r="C194" s="4" t="s">
        <v>38</v>
      </c>
      <c r="D194" s="5" t="n">
        <v>530</v>
      </c>
      <c r="E194" s="5" t="n">
        <v>27</v>
      </c>
      <c r="F194" s="5" t="n">
        <v>29</v>
      </c>
      <c r="G194" s="5" t="n">
        <v>33</v>
      </c>
      <c r="H194" s="6" t="n">
        <v>7.59</v>
      </c>
      <c r="I194" s="4" t="s">
        <v>30</v>
      </c>
      <c r="J194" s="4" t="s">
        <v>15</v>
      </c>
      <c r="K194" s="5" t="n">
        <f aca="false">IF(D194=0,0,ROUND(E194/D194*100,1))</f>
        <v>5.1</v>
      </c>
    </row>
    <row r="195" customFormat="false" ht="15" hidden="false" customHeight="true" outlineLevel="0" collapsed="false">
      <c r="A195" s="7" t="s">
        <v>342</v>
      </c>
      <c r="B195" s="8" t="s">
        <v>343</v>
      </c>
      <c r="C195" s="8" t="s">
        <v>38</v>
      </c>
      <c r="D195" s="9" t="n">
        <v>370</v>
      </c>
      <c r="E195" s="9" t="n">
        <v>17</v>
      </c>
      <c r="F195" s="9" t="n">
        <v>33</v>
      </c>
      <c r="G195" s="9" t="n">
        <v>19</v>
      </c>
      <c r="H195" s="10" t="n">
        <v>5.45</v>
      </c>
      <c r="I195" s="8" t="s">
        <v>344</v>
      </c>
      <c r="J195" s="8" t="s">
        <v>15</v>
      </c>
      <c r="K195" s="9" t="n">
        <f aca="false">IF(D195=0,0,ROUND(E195/D195*100,1))</f>
        <v>4.6</v>
      </c>
    </row>
    <row r="196" customFormat="false" ht="15" hidden="false" customHeight="true" outlineLevel="0" collapsed="false">
      <c r="A196" s="3" t="s">
        <v>342</v>
      </c>
      <c r="B196" s="4" t="s">
        <v>345</v>
      </c>
      <c r="C196" s="4" t="s">
        <v>38</v>
      </c>
      <c r="D196" s="5" t="n">
        <v>340</v>
      </c>
      <c r="E196" s="5" t="n">
        <v>6</v>
      </c>
      <c r="F196" s="5" t="n">
        <v>40</v>
      </c>
      <c r="G196" s="5" t="n">
        <v>18</v>
      </c>
      <c r="H196" s="6" t="n">
        <v>3.95</v>
      </c>
      <c r="I196" s="4" t="s">
        <v>24</v>
      </c>
      <c r="J196" s="4" t="s">
        <v>15</v>
      </c>
      <c r="K196" s="5" t="n">
        <f aca="false">IF(D196=0,0,ROUND(E196/D196*100,1))</f>
        <v>1.8</v>
      </c>
    </row>
    <row r="197" customFormat="false" ht="15" hidden="false" customHeight="true" outlineLevel="0" collapsed="false">
      <c r="A197" s="7" t="s">
        <v>342</v>
      </c>
      <c r="B197" s="8" t="s">
        <v>346</v>
      </c>
      <c r="C197" s="8" t="s">
        <v>347</v>
      </c>
      <c r="D197" s="9" t="n">
        <v>190</v>
      </c>
      <c r="E197" s="9" t="n">
        <v>13</v>
      </c>
      <c r="F197" s="9" t="n">
        <v>19</v>
      </c>
      <c r="G197" s="9" t="n">
        <v>7</v>
      </c>
      <c r="H197" s="10" t="n">
        <v>5.45</v>
      </c>
      <c r="I197" s="8" t="s">
        <v>348</v>
      </c>
      <c r="J197" s="8" t="s">
        <v>15</v>
      </c>
      <c r="K197" s="9" t="n">
        <f aca="false">IF(D197=0,0,ROUND(E197/D197*100,1))</f>
        <v>6.8</v>
      </c>
    </row>
    <row r="198" customFormat="false" ht="15" hidden="false" customHeight="true" outlineLevel="0" collapsed="false">
      <c r="A198" s="3" t="s">
        <v>342</v>
      </c>
      <c r="B198" s="4" t="s">
        <v>349</v>
      </c>
      <c r="C198" s="4" t="s">
        <v>350</v>
      </c>
      <c r="D198" s="5" t="n">
        <v>5</v>
      </c>
      <c r="E198" s="5" t="n">
        <v>1</v>
      </c>
      <c r="F198" s="5" t="n">
        <v>0</v>
      </c>
      <c r="G198" s="5" t="n">
        <v>0</v>
      </c>
      <c r="H198" s="6" t="n">
        <v>3.45</v>
      </c>
      <c r="I198" s="4" t="s">
        <v>348</v>
      </c>
      <c r="J198" s="4" t="s">
        <v>15</v>
      </c>
      <c r="K198" s="5" t="n">
        <f aca="false">IF(D198=0,0,ROUND(E198/D198*100,1))</f>
        <v>20</v>
      </c>
    </row>
    <row r="199" customFormat="false" ht="15" hidden="false" customHeight="true" outlineLevel="0" collapsed="false">
      <c r="A199" s="7" t="s">
        <v>342</v>
      </c>
      <c r="B199" s="8" t="s">
        <v>351</v>
      </c>
      <c r="C199" s="8" t="s">
        <v>38</v>
      </c>
      <c r="D199" s="9" t="n">
        <v>290</v>
      </c>
      <c r="E199" s="9" t="n">
        <v>20</v>
      </c>
      <c r="F199" s="9" t="n">
        <v>34</v>
      </c>
      <c r="G199" s="9" t="n">
        <v>10</v>
      </c>
      <c r="H199" s="10" t="n">
        <v>5.45</v>
      </c>
      <c r="I199" s="8" t="s">
        <v>344</v>
      </c>
      <c r="J199" s="8" t="s">
        <v>18</v>
      </c>
      <c r="K199" s="9" t="n">
        <f aca="false">IF(D199=0,0,ROUND(E199/D199*100,1))</f>
        <v>6.9</v>
      </c>
    </row>
    <row r="200" customFormat="false" ht="15" hidden="false" customHeight="true" outlineLevel="0" collapsed="false">
      <c r="A200" s="3" t="s">
        <v>342</v>
      </c>
      <c r="B200" s="4" t="s">
        <v>352</v>
      </c>
      <c r="C200" s="4" t="s">
        <v>38</v>
      </c>
      <c r="D200" s="5" t="n">
        <v>230</v>
      </c>
      <c r="E200" s="5" t="n">
        <v>17</v>
      </c>
      <c r="F200" s="5" t="n">
        <v>28</v>
      </c>
      <c r="G200" s="5" t="n">
        <v>5</v>
      </c>
      <c r="H200" s="6" t="n">
        <v>5.45</v>
      </c>
      <c r="I200" s="4" t="s">
        <v>344</v>
      </c>
      <c r="J200" s="4" t="s">
        <v>18</v>
      </c>
      <c r="K200" s="5" t="n">
        <f aca="false">IF(D200=0,0,ROUND(E200/D200*100,1))</f>
        <v>7.4</v>
      </c>
    </row>
    <row r="201" customFormat="false" ht="15" hidden="false" customHeight="true" outlineLevel="0" collapsed="false">
      <c r="A201" s="7" t="s">
        <v>353</v>
      </c>
      <c r="B201" s="8" t="s">
        <v>354</v>
      </c>
      <c r="C201" s="8" t="s">
        <v>355</v>
      </c>
      <c r="D201" s="9" t="n">
        <v>280</v>
      </c>
      <c r="E201" s="9" t="n">
        <v>19</v>
      </c>
      <c r="F201" s="9" t="n">
        <v>41</v>
      </c>
      <c r="G201" s="9" t="n">
        <v>4</v>
      </c>
      <c r="H201" s="10" t="n">
        <v>6.49</v>
      </c>
      <c r="I201" s="8" t="s">
        <v>255</v>
      </c>
      <c r="J201" s="8" t="s">
        <v>15</v>
      </c>
      <c r="K201" s="9" t="n">
        <f aca="false">IF(D201=0,0,ROUND(E201/D201*100,1))</f>
        <v>6.8</v>
      </c>
    </row>
    <row r="202" customFormat="false" ht="15" hidden="false" customHeight="true" outlineLevel="0" collapsed="false">
      <c r="A202" s="3" t="s">
        <v>353</v>
      </c>
      <c r="B202" s="4" t="s">
        <v>356</v>
      </c>
      <c r="C202" s="4" t="s">
        <v>357</v>
      </c>
      <c r="D202" s="5" t="n">
        <v>320</v>
      </c>
      <c r="E202" s="5" t="n">
        <v>26</v>
      </c>
      <c r="F202" s="5" t="n">
        <v>42</v>
      </c>
      <c r="G202" s="5" t="n">
        <v>6</v>
      </c>
      <c r="H202" s="6" t="n">
        <v>7.29</v>
      </c>
      <c r="I202" s="4" t="s">
        <v>255</v>
      </c>
      <c r="J202" s="4" t="s">
        <v>15</v>
      </c>
      <c r="K202" s="5" t="n">
        <f aca="false">IF(D202=0,0,ROUND(E202/D202*100,1))</f>
        <v>8.1</v>
      </c>
    </row>
    <row r="203" customFormat="false" ht="15" hidden="false" customHeight="true" outlineLevel="0" collapsed="false">
      <c r="A203" s="7" t="s">
        <v>353</v>
      </c>
      <c r="B203" s="8" t="s">
        <v>358</v>
      </c>
      <c r="C203" s="8" t="s">
        <v>359</v>
      </c>
      <c r="D203" s="9" t="n">
        <v>380</v>
      </c>
      <c r="E203" s="9" t="n">
        <v>26</v>
      </c>
      <c r="F203" s="9" t="n">
        <v>44</v>
      </c>
      <c r="G203" s="9" t="n">
        <v>10</v>
      </c>
      <c r="H203" s="10" t="n">
        <v>7.99</v>
      </c>
      <c r="I203" s="8" t="s">
        <v>255</v>
      </c>
      <c r="J203" s="8" t="s">
        <v>15</v>
      </c>
      <c r="K203" s="9" t="n">
        <f aca="false">IF(D203=0,0,ROUND(E203/D203*100,1))</f>
        <v>6.8</v>
      </c>
    </row>
    <row r="204" customFormat="false" ht="15" hidden="false" customHeight="true" outlineLevel="0" collapsed="false">
      <c r="A204" s="3" t="s">
        <v>353</v>
      </c>
      <c r="B204" s="4" t="s">
        <v>360</v>
      </c>
      <c r="C204" s="4" t="s">
        <v>357</v>
      </c>
      <c r="D204" s="5" t="n">
        <v>480</v>
      </c>
      <c r="E204" s="5" t="n">
        <v>20</v>
      </c>
      <c r="F204" s="5" t="n">
        <v>40</v>
      </c>
      <c r="G204" s="5" t="n">
        <v>25</v>
      </c>
      <c r="H204" s="6" t="n">
        <v>6.99</v>
      </c>
      <c r="I204" s="4" t="s">
        <v>255</v>
      </c>
      <c r="J204" s="4" t="s">
        <v>15</v>
      </c>
      <c r="K204" s="5" t="n">
        <f aca="false">IF(D204=0,0,ROUND(E204/D204*100,1))</f>
        <v>4.2</v>
      </c>
    </row>
    <row r="205" customFormat="false" ht="15" hidden="false" customHeight="true" outlineLevel="0" collapsed="false">
      <c r="A205" s="7" t="s">
        <v>353</v>
      </c>
      <c r="B205" s="8" t="s">
        <v>361</v>
      </c>
      <c r="C205" s="8" t="s">
        <v>362</v>
      </c>
      <c r="D205" s="9" t="n">
        <v>560</v>
      </c>
      <c r="E205" s="9" t="n">
        <v>38</v>
      </c>
      <c r="F205" s="9" t="n">
        <v>82</v>
      </c>
      <c r="G205" s="9" t="n">
        <v>8</v>
      </c>
      <c r="H205" s="10" t="n">
        <v>10.49</v>
      </c>
      <c r="I205" s="8" t="s">
        <v>255</v>
      </c>
      <c r="J205" s="8" t="s">
        <v>15</v>
      </c>
      <c r="K205" s="9" t="n">
        <f aca="false">IF(D205=0,0,ROUND(E205/D205*100,1))</f>
        <v>6.8</v>
      </c>
    </row>
    <row r="206" customFormat="false" ht="15" hidden="false" customHeight="true" outlineLevel="0" collapsed="false">
      <c r="A206" s="3" t="s">
        <v>363</v>
      </c>
      <c r="B206" s="4" t="s">
        <v>364</v>
      </c>
      <c r="C206" s="4" t="s">
        <v>13</v>
      </c>
      <c r="D206" s="5" t="n">
        <v>710</v>
      </c>
      <c r="E206" s="5" t="n">
        <v>42</v>
      </c>
      <c r="F206" s="5" t="n">
        <v>49</v>
      </c>
      <c r="G206" s="5" t="n">
        <v>38</v>
      </c>
      <c r="H206" s="6" t="n">
        <v>14.5</v>
      </c>
      <c r="I206" s="4" t="s">
        <v>242</v>
      </c>
      <c r="J206" s="4" t="s">
        <v>15</v>
      </c>
      <c r="K206" s="5" t="n">
        <f aca="false">IF(D206=0,0,ROUND(E206/D206*100,1))</f>
        <v>5.9</v>
      </c>
    </row>
    <row r="207" customFormat="false" ht="15" hidden="false" customHeight="true" outlineLevel="0" collapsed="false">
      <c r="A207" s="7" t="s">
        <v>363</v>
      </c>
      <c r="B207" s="8" t="s">
        <v>365</v>
      </c>
      <c r="C207" s="8" t="s">
        <v>366</v>
      </c>
      <c r="D207" s="9" t="n">
        <v>705</v>
      </c>
      <c r="E207" s="9" t="n">
        <v>28</v>
      </c>
      <c r="F207" s="9" t="n">
        <v>76</v>
      </c>
      <c r="G207" s="9" t="n">
        <v>32</v>
      </c>
      <c r="H207" s="10" t="n">
        <v>14.95</v>
      </c>
      <c r="I207" s="8" t="s">
        <v>242</v>
      </c>
      <c r="J207" s="8" t="s">
        <v>15</v>
      </c>
      <c r="K207" s="9" t="n">
        <f aca="false">IF(D207=0,0,ROUND(E207/D207*100,1))</f>
        <v>4</v>
      </c>
    </row>
    <row r="208" customFormat="false" ht="15" hidden="false" customHeight="true" outlineLevel="0" collapsed="false">
      <c r="A208" s="3" t="s">
        <v>363</v>
      </c>
      <c r="B208" s="4" t="s">
        <v>367</v>
      </c>
      <c r="C208" s="4" t="s">
        <v>13</v>
      </c>
      <c r="D208" s="5" t="n">
        <v>615</v>
      </c>
      <c r="E208" s="5" t="n">
        <v>18</v>
      </c>
      <c r="F208" s="5" t="n">
        <v>72</v>
      </c>
      <c r="G208" s="5" t="n">
        <v>28</v>
      </c>
      <c r="H208" s="6" t="n">
        <v>13.95</v>
      </c>
      <c r="I208" s="4" t="s">
        <v>242</v>
      </c>
      <c r="J208" s="4" t="s">
        <v>368</v>
      </c>
      <c r="K208" s="5" t="n">
        <f aca="false">IF(D208=0,0,ROUND(E208/D208*100,1))</f>
        <v>2.9</v>
      </c>
    </row>
    <row r="209" customFormat="false" ht="15" hidden="false" customHeight="true" outlineLevel="0" collapsed="false">
      <c r="A209" s="7" t="s">
        <v>369</v>
      </c>
      <c r="B209" s="8" t="s">
        <v>370</v>
      </c>
      <c r="C209" s="8" t="s">
        <v>38</v>
      </c>
      <c r="D209" s="9" t="n">
        <v>350</v>
      </c>
      <c r="E209" s="9" t="n">
        <v>13</v>
      </c>
      <c r="F209" s="9" t="n">
        <v>54</v>
      </c>
      <c r="G209" s="9" t="n">
        <v>9</v>
      </c>
      <c r="H209" s="10" t="n">
        <v>2.49</v>
      </c>
      <c r="I209" s="8" t="s">
        <v>14</v>
      </c>
      <c r="J209" s="8" t="s">
        <v>35</v>
      </c>
      <c r="K209" s="9" t="n">
        <f aca="false">IF(D209=0,0,ROUND(E209/D209*100,1))</f>
        <v>3.7</v>
      </c>
    </row>
    <row r="210" customFormat="false" ht="15" hidden="false" customHeight="true" outlineLevel="0" collapsed="false">
      <c r="A210" s="3" t="s">
        <v>369</v>
      </c>
      <c r="B210" s="4" t="s">
        <v>371</v>
      </c>
      <c r="C210" s="4" t="s">
        <v>372</v>
      </c>
      <c r="D210" s="5" t="n">
        <v>490</v>
      </c>
      <c r="E210" s="5" t="n">
        <v>29</v>
      </c>
      <c r="F210" s="5" t="n">
        <v>49</v>
      </c>
      <c r="G210" s="5" t="n">
        <v>20</v>
      </c>
      <c r="H210" s="6" t="n">
        <v>6.99</v>
      </c>
      <c r="I210" s="4" t="s">
        <v>14</v>
      </c>
      <c r="J210" s="4" t="s">
        <v>15</v>
      </c>
      <c r="K210" s="5" t="n">
        <f aca="false">IF(D210=0,0,ROUND(E210/D210*100,1))</f>
        <v>5.9</v>
      </c>
    </row>
    <row r="211" customFormat="false" ht="15" hidden="false" customHeight="true" outlineLevel="0" collapsed="false">
      <c r="A211" s="7" t="s">
        <v>369</v>
      </c>
      <c r="B211" s="8" t="s">
        <v>373</v>
      </c>
      <c r="C211" s="8" t="s">
        <v>38</v>
      </c>
      <c r="D211" s="9" t="n">
        <v>350</v>
      </c>
      <c r="E211" s="9" t="n">
        <v>13</v>
      </c>
      <c r="F211" s="9" t="n">
        <v>28</v>
      </c>
      <c r="G211" s="9" t="n">
        <v>21</v>
      </c>
      <c r="H211" s="10" t="n">
        <v>3.49</v>
      </c>
      <c r="I211" s="8" t="s">
        <v>14</v>
      </c>
      <c r="J211" s="8" t="s">
        <v>15</v>
      </c>
      <c r="K211" s="9" t="n">
        <f aca="false">IF(D211=0,0,ROUND(E211/D211*100,1))</f>
        <v>3.7</v>
      </c>
    </row>
    <row r="212" customFormat="false" ht="15" hidden="false" customHeight="true" outlineLevel="0" collapsed="false">
      <c r="A212" s="3" t="s">
        <v>369</v>
      </c>
      <c r="B212" s="4" t="s">
        <v>374</v>
      </c>
      <c r="C212" s="4" t="s">
        <v>38</v>
      </c>
      <c r="D212" s="5" t="n">
        <v>530</v>
      </c>
      <c r="E212" s="5" t="n">
        <v>16</v>
      </c>
      <c r="F212" s="5" t="n">
        <v>71</v>
      </c>
      <c r="G212" s="5" t="n">
        <v>21</v>
      </c>
      <c r="H212" s="6" t="n">
        <v>4.99</v>
      </c>
      <c r="I212" s="4" t="s">
        <v>14</v>
      </c>
      <c r="J212" s="4" t="s">
        <v>15</v>
      </c>
      <c r="K212" s="5" t="n">
        <f aca="false">IF(D212=0,0,ROUND(E212/D212*100,1))</f>
        <v>3</v>
      </c>
    </row>
    <row r="213" customFormat="false" ht="15" hidden="false" customHeight="true" outlineLevel="0" collapsed="false">
      <c r="A213" s="7" t="s">
        <v>369</v>
      </c>
      <c r="B213" s="8" t="s">
        <v>375</v>
      </c>
      <c r="C213" s="8" t="s">
        <v>38</v>
      </c>
      <c r="D213" s="9" t="n">
        <v>170</v>
      </c>
      <c r="E213" s="9" t="n">
        <v>8</v>
      </c>
      <c r="F213" s="9" t="n">
        <v>13</v>
      </c>
      <c r="G213" s="9" t="n">
        <v>10</v>
      </c>
      <c r="H213" s="10" t="n">
        <v>1.79</v>
      </c>
      <c r="I213" s="8" t="s">
        <v>14</v>
      </c>
      <c r="J213" s="8" t="s">
        <v>15</v>
      </c>
      <c r="K213" s="9" t="n">
        <f aca="false">IF(D213=0,0,ROUND(E213/D213*100,1))</f>
        <v>4.7</v>
      </c>
    </row>
    <row r="214" customFormat="false" ht="15" hidden="false" customHeight="true" outlineLevel="0" collapsed="false">
      <c r="A214" s="3" t="s">
        <v>369</v>
      </c>
      <c r="B214" s="4" t="s">
        <v>376</v>
      </c>
      <c r="C214" s="4" t="s">
        <v>13</v>
      </c>
      <c r="D214" s="5" t="n">
        <v>470</v>
      </c>
      <c r="E214" s="5" t="n">
        <v>27</v>
      </c>
      <c r="F214" s="5" t="n">
        <v>50</v>
      </c>
      <c r="G214" s="5" t="n">
        <v>18</v>
      </c>
      <c r="H214" s="6" t="n">
        <v>6.49</v>
      </c>
      <c r="I214" s="4" t="s">
        <v>14</v>
      </c>
      <c r="J214" s="4" t="s">
        <v>18</v>
      </c>
      <c r="K214" s="5" t="n">
        <f aca="false">IF(D214=0,0,ROUND(E214/D214*100,1))</f>
        <v>5.7</v>
      </c>
    </row>
    <row r="215" customFormat="false" ht="15" hidden="false" customHeight="true" outlineLevel="0" collapsed="false">
      <c r="A215" s="7" t="s">
        <v>377</v>
      </c>
      <c r="B215" s="8" t="s">
        <v>378</v>
      </c>
      <c r="C215" s="8" t="s">
        <v>379</v>
      </c>
      <c r="D215" s="9" t="n">
        <v>780</v>
      </c>
      <c r="E215" s="9" t="n">
        <v>40</v>
      </c>
      <c r="F215" s="9" t="n">
        <v>110</v>
      </c>
      <c r="G215" s="9" t="n">
        <v>16</v>
      </c>
      <c r="H215" s="10" t="n">
        <v>10.95</v>
      </c>
      <c r="I215" s="8" t="s">
        <v>238</v>
      </c>
      <c r="J215" s="8" t="s">
        <v>15</v>
      </c>
      <c r="K215" s="9" t="n">
        <f aca="false">IF(D215=0,0,ROUND(E215/D215*100,1))</f>
        <v>5.1</v>
      </c>
    </row>
    <row r="216" customFormat="false" ht="15" hidden="false" customHeight="true" outlineLevel="0" collapsed="false">
      <c r="A216" s="3" t="s">
        <v>377</v>
      </c>
      <c r="B216" s="4" t="s">
        <v>380</v>
      </c>
      <c r="C216" s="4" t="s">
        <v>381</v>
      </c>
      <c r="D216" s="5" t="n">
        <v>540</v>
      </c>
      <c r="E216" s="5" t="n">
        <v>35</v>
      </c>
      <c r="F216" s="5" t="n">
        <v>72</v>
      </c>
      <c r="G216" s="5" t="n">
        <v>11</v>
      </c>
      <c r="H216" s="6" t="n">
        <v>8.95</v>
      </c>
      <c r="I216" s="4" t="s">
        <v>238</v>
      </c>
      <c r="J216" s="4" t="s">
        <v>382</v>
      </c>
      <c r="K216" s="5" t="n">
        <f aca="false">IF(D216=0,0,ROUND(E216/D216*100,1))</f>
        <v>6.5</v>
      </c>
    </row>
    <row r="217" customFormat="false" ht="15" hidden="false" customHeight="true" outlineLevel="0" collapsed="false">
      <c r="A217" s="7" t="s">
        <v>377</v>
      </c>
      <c r="B217" s="8" t="s">
        <v>383</v>
      </c>
      <c r="C217" s="8" t="s">
        <v>13</v>
      </c>
      <c r="D217" s="9" t="n">
        <v>560</v>
      </c>
      <c r="E217" s="9" t="n">
        <v>33</v>
      </c>
      <c r="F217" s="9" t="n">
        <v>70</v>
      </c>
      <c r="G217" s="9" t="n">
        <v>15</v>
      </c>
      <c r="H217" s="10" t="n">
        <v>9.95</v>
      </c>
      <c r="I217" s="8" t="s">
        <v>238</v>
      </c>
      <c r="J217" s="8" t="s">
        <v>15</v>
      </c>
      <c r="K217" s="9" t="n">
        <f aca="false">IF(D217=0,0,ROUND(E217/D217*100,1))</f>
        <v>5.9</v>
      </c>
    </row>
    <row r="218" customFormat="false" ht="15" hidden="false" customHeight="true" outlineLevel="0" collapsed="false">
      <c r="A218" s="3" t="s">
        <v>377</v>
      </c>
      <c r="B218" s="4" t="s">
        <v>384</v>
      </c>
      <c r="C218" s="4" t="s">
        <v>13</v>
      </c>
      <c r="D218" s="5" t="n">
        <v>430</v>
      </c>
      <c r="E218" s="5" t="n">
        <v>15</v>
      </c>
      <c r="F218" s="5" t="n">
        <v>75</v>
      </c>
      <c r="G218" s="5" t="n">
        <v>9</v>
      </c>
      <c r="H218" s="6" t="n">
        <v>8.45</v>
      </c>
      <c r="I218" s="4" t="s">
        <v>238</v>
      </c>
      <c r="J218" s="4" t="s">
        <v>35</v>
      </c>
      <c r="K218" s="5" t="n">
        <f aca="false">IF(D218=0,0,ROUND(E218/D218*100,1))</f>
        <v>3.5</v>
      </c>
    </row>
    <row r="219" customFormat="false" ht="15" hidden="false" customHeight="true" outlineLevel="0" collapsed="false">
      <c r="A219" s="7" t="s">
        <v>385</v>
      </c>
      <c r="B219" s="8" t="s">
        <v>386</v>
      </c>
      <c r="C219" s="8" t="s">
        <v>387</v>
      </c>
      <c r="D219" s="9" t="n">
        <v>430</v>
      </c>
      <c r="E219" s="9" t="n">
        <v>32</v>
      </c>
      <c r="F219" s="9" t="n">
        <v>32</v>
      </c>
      <c r="G219" s="9" t="n">
        <v>21</v>
      </c>
      <c r="H219" s="10" t="n">
        <v>8.49</v>
      </c>
      <c r="I219" s="8" t="s">
        <v>242</v>
      </c>
      <c r="J219" s="8" t="s">
        <v>15</v>
      </c>
      <c r="K219" s="9" t="n">
        <f aca="false">IF(D219=0,0,ROUND(E219/D219*100,1))</f>
        <v>7.4</v>
      </c>
    </row>
    <row r="220" customFormat="false" ht="15" hidden="false" customHeight="true" outlineLevel="0" collapsed="false">
      <c r="A220" s="3" t="s">
        <v>385</v>
      </c>
      <c r="B220" s="4" t="s">
        <v>388</v>
      </c>
      <c r="C220" s="4" t="s">
        <v>29</v>
      </c>
      <c r="D220" s="5" t="n">
        <v>950</v>
      </c>
      <c r="E220" s="5" t="n">
        <v>54</v>
      </c>
      <c r="F220" s="5" t="n">
        <v>40</v>
      </c>
      <c r="G220" s="5" t="n">
        <v>62</v>
      </c>
      <c r="H220" s="6" t="n">
        <v>8.99</v>
      </c>
      <c r="I220" s="4" t="s">
        <v>30</v>
      </c>
      <c r="J220" s="4" t="s">
        <v>389</v>
      </c>
      <c r="K220" s="5" t="n">
        <f aca="false">IF(D220=0,0,ROUND(E220/D220*100,1))</f>
        <v>5.7</v>
      </c>
    </row>
    <row r="221" customFormat="false" ht="15" hidden="false" customHeight="true" outlineLevel="0" collapsed="false">
      <c r="A221" s="7" t="s">
        <v>385</v>
      </c>
      <c r="B221" s="8" t="s">
        <v>390</v>
      </c>
      <c r="C221" s="8" t="s">
        <v>391</v>
      </c>
      <c r="D221" s="9" t="n">
        <v>330</v>
      </c>
      <c r="E221" s="9" t="n">
        <v>25</v>
      </c>
      <c r="F221" s="9" t="n">
        <v>32</v>
      </c>
      <c r="G221" s="9" t="n">
        <v>11</v>
      </c>
      <c r="H221" s="10" t="n">
        <v>4.29</v>
      </c>
      <c r="I221" s="8" t="s">
        <v>30</v>
      </c>
      <c r="J221" s="8" t="s">
        <v>18</v>
      </c>
      <c r="K221" s="9" t="n">
        <f aca="false">IF(D221=0,0,ROUND(E221/D221*100,1))</f>
        <v>7.6</v>
      </c>
    </row>
    <row r="222" customFormat="false" ht="15" hidden="false" customHeight="false" outlineLevel="0" collapsed="false">
      <c r="A222" s="11" t="s">
        <v>385</v>
      </c>
      <c r="B222" s="12" t="s">
        <v>392</v>
      </c>
      <c r="C222" s="12" t="s">
        <v>393</v>
      </c>
      <c r="D222" s="5" t="n">
        <v>590</v>
      </c>
      <c r="E222" s="5" t="n">
        <v>30</v>
      </c>
      <c r="F222" s="5" t="n">
        <v>39</v>
      </c>
      <c r="G222" s="5" t="n">
        <v>34</v>
      </c>
      <c r="H222" s="6" t="n">
        <v>6.99</v>
      </c>
      <c r="I222" s="12" t="s">
        <v>30</v>
      </c>
      <c r="J222" s="12" t="s">
        <v>15</v>
      </c>
      <c r="K222" s="5" t="n">
        <f aca="false">IF(D222=0,0,ROUND(E222/D222*100,1))</f>
        <v>5.1</v>
      </c>
    </row>
    <row r="223" customFormat="false" ht="15" hidden="false" customHeight="false" outlineLevel="0" collapsed="false">
      <c r="A223" s="13" t="s">
        <v>385</v>
      </c>
      <c r="B223" s="14" t="s">
        <v>31</v>
      </c>
      <c r="C223" s="14" t="s">
        <v>32</v>
      </c>
      <c r="D223" s="9" t="n">
        <v>370</v>
      </c>
      <c r="E223" s="9" t="n">
        <v>34</v>
      </c>
      <c r="F223" s="9" t="n">
        <v>38</v>
      </c>
      <c r="G223" s="9" t="n">
        <v>9</v>
      </c>
      <c r="H223" s="10" t="n">
        <v>6.29</v>
      </c>
      <c r="I223" s="14" t="s">
        <v>30</v>
      </c>
      <c r="J223" s="14" t="s">
        <v>18</v>
      </c>
      <c r="K223" s="9" t="n">
        <f aca="false">IF(D223=0,0,ROUND(E223/D223*100,1))</f>
        <v>9.2</v>
      </c>
    </row>
    <row r="224" customFormat="false" ht="15" hidden="false" customHeight="false" outlineLevel="0" collapsed="false">
      <c r="A224" s="11" t="s">
        <v>385</v>
      </c>
      <c r="B224" s="12" t="s">
        <v>245</v>
      </c>
      <c r="C224" s="12" t="s">
        <v>38</v>
      </c>
      <c r="D224" s="5" t="n">
        <v>380</v>
      </c>
      <c r="E224" s="5" t="n">
        <v>20</v>
      </c>
      <c r="F224" s="5" t="n">
        <v>26</v>
      </c>
      <c r="G224" s="5" t="n">
        <v>23</v>
      </c>
      <c r="H224" s="6" t="n">
        <v>3.49</v>
      </c>
      <c r="I224" s="12" t="s">
        <v>30</v>
      </c>
      <c r="J224" s="12" t="s">
        <v>15</v>
      </c>
      <c r="K224" s="5" t="n">
        <f aca="false">IF(D224=0,0,ROUND(E224/D224*100,1))</f>
        <v>5.3</v>
      </c>
    </row>
    <row r="225" customFormat="false" ht="15" hidden="false" customHeight="false" outlineLevel="0" collapsed="false">
      <c r="A225" s="13" t="s">
        <v>385</v>
      </c>
      <c r="B225" s="14" t="s">
        <v>71</v>
      </c>
      <c r="C225" s="14" t="s">
        <v>32</v>
      </c>
      <c r="D225" s="9" t="n">
        <v>490</v>
      </c>
      <c r="E225" s="9" t="n">
        <v>28</v>
      </c>
      <c r="F225" s="9" t="n">
        <v>49</v>
      </c>
      <c r="G225" s="9" t="n">
        <v>21</v>
      </c>
      <c r="H225" s="10" t="n">
        <v>6.49</v>
      </c>
      <c r="I225" s="14" t="s">
        <v>30</v>
      </c>
      <c r="J225" s="14" t="s">
        <v>15</v>
      </c>
      <c r="K225" s="9" t="n">
        <f aca="false">IF(D225=0,0,ROUND(E225/D225*100,1))</f>
        <v>5.7</v>
      </c>
    </row>
    <row r="226" customFormat="false" ht="15" hidden="false" customHeight="false" outlineLevel="0" collapsed="false">
      <c r="A226" s="11" t="s">
        <v>394</v>
      </c>
      <c r="B226" s="12" t="s">
        <v>395</v>
      </c>
      <c r="C226" s="12" t="s">
        <v>396</v>
      </c>
      <c r="D226" s="5" t="n">
        <v>400</v>
      </c>
      <c r="E226" s="5" t="n">
        <v>26</v>
      </c>
      <c r="F226" s="5" t="n">
        <v>38</v>
      </c>
      <c r="G226" s="5" t="n">
        <v>15</v>
      </c>
      <c r="H226" s="6" t="n">
        <v>6.99</v>
      </c>
      <c r="I226" s="12" t="s">
        <v>63</v>
      </c>
      <c r="J226" s="12" t="s">
        <v>15</v>
      </c>
      <c r="K226" s="5" t="n">
        <f aca="false">IF(D226=0,0,ROUND(E226/D226*100,1))</f>
        <v>6.5</v>
      </c>
    </row>
    <row r="227" customFormat="false" ht="15" hidden="false" customHeight="false" outlineLevel="0" collapsed="false">
      <c r="A227" s="13" t="s">
        <v>394</v>
      </c>
      <c r="B227" s="14" t="s">
        <v>397</v>
      </c>
      <c r="C227" s="14" t="s">
        <v>32</v>
      </c>
      <c r="D227" s="9" t="n">
        <v>470</v>
      </c>
      <c r="E227" s="9" t="n">
        <v>30</v>
      </c>
      <c r="F227" s="9" t="n">
        <v>42</v>
      </c>
      <c r="G227" s="9" t="n">
        <v>20</v>
      </c>
      <c r="H227" s="10" t="n">
        <v>6.49</v>
      </c>
      <c r="I227" s="14" t="s">
        <v>63</v>
      </c>
      <c r="J227" s="14" t="s">
        <v>15</v>
      </c>
      <c r="K227" s="9" t="n">
        <f aca="false">IF(D227=0,0,ROUND(E227/D227*100,1))</f>
        <v>6.4</v>
      </c>
    </row>
    <row r="228" customFormat="false" ht="15" hidden="false" customHeight="false" outlineLevel="0" collapsed="false">
      <c r="A228" s="11" t="s">
        <v>394</v>
      </c>
      <c r="B228" s="12" t="s">
        <v>398</v>
      </c>
      <c r="C228" s="12" t="s">
        <v>396</v>
      </c>
      <c r="D228" s="5" t="n">
        <v>430</v>
      </c>
      <c r="E228" s="5" t="n">
        <v>42</v>
      </c>
      <c r="F228" s="5" t="n">
        <v>0</v>
      </c>
      <c r="G228" s="5" t="n">
        <v>28</v>
      </c>
      <c r="H228" s="6" t="n">
        <v>7.49</v>
      </c>
      <c r="I228" s="12" t="s">
        <v>63</v>
      </c>
      <c r="J228" s="12" t="s">
        <v>399</v>
      </c>
      <c r="K228" s="5" t="n">
        <f aca="false">IF(D228=0,0,ROUND(E228/D228*100,1))</f>
        <v>9.8</v>
      </c>
    </row>
  </sheetData>
  <autoFilter ref="A1:K2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6.85" hidden="false" customHeight="false" outlineLevel="0" collapsed="false">
      <c r="A1" s="2" t="s">
        <v>0</v>
      </c>
      <c r="B1" s="2" t="s">
        <v>400</v>
      </c>
      <c r="C1" s="2" t="s">
        <v>401</v>
      </c>
      <c r="D1" s="2" t="s">
        <v>402</v>
      </c>
      <c r="E1" s="2" t="s">
        <v>403</v>
      </c>
    </row>
    <row r="2" customFormat="false" ht="15" hidden="false" customHeight="false" outlineLevel="0" collapsed="false">
      <c r="A2" s="13" t="s">
        <v>11</v>
      </c>
      <c r="B2" s="9" t="n">
        <f aca="false">COUNTIF('Restaurant Macros'!$A$2:$A$228,A2)</f>
        <v>3</v>
      </c>
      <c r="C2" s="9" t="n">
        <f aca="false">ROUND(AVERAGEIF('Restaurant Macros'!$A$2:$A$228,A2,'Restaurant Macros'!$D$2:$D$228),0)</f>
        <v>617</v>
      </c>
      <c r="D2" s="9" t="n">
        <f aca="false">ROUND(AVERAGEIF('Restaurant Macros'!$A$2:$A$228,A2,'Restaurant Macros'!$E$2:$E$228),0)</f>
        <v>42</v>
      </c>
      <c r="E2" s="9" t="n">
        <f aca="false">ROUND(SUMPRODUCT(MAX(('Restaurant Macros'!$A$2:$A$228=A2)*'Restaurant Macros'!$K$2:$K$228)),1)</f>
        <v>7.8</v>
      </c>
    </row>
    <row r="3" customFormat="false" ht="15" hidden="false" customHeight="false" outlineLevel="0" collapsed="false">
      <c r="A3" s="13" t="s">
        <v>21</v>
      </c>
      <c r="B3" s="9" t="n">
        <f aca="false">COUNTIF('Restaurant Macros'!$A$2:$A$228,A3)</f>
        <v>3</v>
      </c>
      <c r="C3" s="9" t="n">
        <f aca="false">ROUND(AVERAGEIF('Restaurant Macros'!$A$2:$A$228,A3,'Restaurant Macros'!$D$2:$D$228),0)</f>
        <v>273</v>
      </c>
      <c r="D3" s="9" t="n">
        <f aca="false">ROUND(AVERAGEIF('Restaurant Macros'!$A$2:$A$228,A3,'Restaurant Macros'!$E$2:$E$228),0)</f>
        <v>4</v>
      </c>
      <c r="E3" s="9" t="n">
        <f aca="false">ROUND(SUMPRODUCT(MAX(('Restaurant Macros'!$A$2:$A$228=A3)*'Restaurant Macros'!$K$2:$K$228)),1)</f>
        <v>1.5</v>
      </c>
    </row>
    <row r="4" customFormat="false" ht="15" hidden="false" customHeight="false" outlineLevel="0" collapsed="false">
      <c r="A4" s="13" t="s">
        <v>27</v>
      </c>
      <c r="B4" s="9" t="n">
        <f aca="false">COUNTIF('Restaurant Macros'!$A$2:$A$228,A4)</f>
        <v>5</v>
      </c>
      <c r="C4" s="9" t="n">
        <f aca="false">ROUND(AVERAGEIF('Restaurant Macros'!$A$2:$A$228,A4,'Restaurant Macros'!$D$2:$D$228),0)</f>
        <v>643</v>
      </c>
      <c r="D4" s="9" t="n">
        <f aca="false">ROUND(AVERAGEIF('Restaurant Macros'!$A$2:$A$228,A4,'Restaurant Macros'!$E$2:$E$228),0)</f>
        <v>33</v>
      </c>
      <c r="E4" s="9" t="n">
        <f aca="false">ROUND(SUMPRODUCT(MAX(('Restaurant Macros'!$A$2:$A$228=A4)*'Restaurant Macros'!$K$2:$K$228)),1)</f>
        <v>7.9</v>
      </c>
    </row>
    <row r="5" customFormat="false" ht="15" hidden="false" customHeight="false" outlineLevel="0" collapsed="false">
      <c r="A5" s="13" t="s">
        <v>39</v>
      </c>
      <c r="B5" s="9" t="n">
        <f aca="false">COUNTIF('Restaurant Macros'!$A$2:$A$228,A5)</f>
        <v>3</v>
      </c>
      <c r="C5" s="9" t="n">
        <f aca="false">ROUND(AVERAGEIF('Restaurant Macros'!$A$2:$A$228,A5,'Restaurant Macros'!$D$2:$D$228),0)</f>
        <v>653</v>
      </c>
      <c r="D5" s="9" t="n">
        <f aca="false">ROUND(AVERAGEIF('Restaurant Macros'!$A$2:$A$228,A5,'Restaurant Macros'!$E$2:$E$228),0)</f>
        <v>46</v>
      </c>
      <c r="E5" s="9" t="n">
        <f aca="false">ROUND(SUMPRODUCT(MAX(('Restaurant Macros'!$A$2:$A$228=A5)*'Restaurant Macros'!$K$2:$K$228)),1)</f>
        <v>8.6</v>
      </c>
    </row>
    <row r="6" customFormat="false" ht="15" hidden="false" customHeight="false" outlineLevel="0" collapsed="false">
      <c r="A6" s="13" t="s">
        <v>46</v>
      </c>
      <c r="B6" s="9" t="n">
        <f aca="false">COUNTIF('Restaurant Macros'!$A$2:$A$228,A6)</f>
        <v>3</v>
      </c>
      <c r="C6" s="9" t="n">
        <f aca="false">ROUND(AVERAGEIF('Restaurant Macros'!$A$2:$A$228,A6,'Restaurant Macros'!$D$2:$D$228),0)</f>
        <v>553</v>
      </c>
      <c r="D6" s="9" t="n">
        <f aca="false">ROUND(AVERAGEIF('Restaurant Macros'!$A$2:$A$228,A6,'Restaurant Macros'!$E$2:$E$228),0)</f>
        <v>42</v>
      </c>
      <c r="E6" s="9" t="n">
        <f aca="false">ROUND(SUMPRODUCT(MAX(('Restaurant Macros'!$A$2:$A$228=A6)*'Restaurant Macros'!$K$2:$K$228)),1)</f>
        <v>8.3</v>
      </c>
    </row>
    <row r="7" customFormat="false" ht="15" hidden="false" customHeight="false" outlineLevel="0" collapsed="false">
      <c r="A7" s="13" t="s">
        <v>54</v>
      </c>
      <c r="B7" s="9" t="n">
        <f aca="false">COUNTIF('Restaurant Macros'!$A$2:$A$228,A7)</f>
        <v>5</v>
      </c>
      <c r="C7" s="9" t="n">
        <f aca="false">ROUND(AVERAGEIF('Restaurant Macros'!$A$2:$A$228,A7,'Restaurant Macros'!$D$2:$D$228),0)</f>
        <v>602</v>
      </c>
      <c r="D7" s="9" t="n">
        <f aca="false">ROUND(AVERAGEIF('Restaurant Macros'!$A$2:$A$228,A7,'Restaurant Macros'!$E$2:$E$228),0)</f>
        <v>31</v>
      </c>
      <c r="E7" s="9" t="n">
        <f aca="false">ROUND(SUMPRODUCT(MAX(('Restaurant Macros'!$A$2:$A$228=A7)*'Restaurant Macros'!$K$2:$K$228)),1)</f>
        <v>8.9</v>
      </c>
    </row>
    <row r="8" customFormat="false" ht="15" hidden="false" customHeight="false" outlineLevel="0" collapsed="false">
      <c r="A8" s="13" t="s">
        <v>61</v>
      </c>
      <c r="B8" s="9" t="n">
        <f aca="false">COUNTIF('Restaurant Macros'!$A$2:$A$228,A8)</f>
        <v>7</v>
      </c>
      <c r="C8" s="9" t="n">
        <f aca="false">ROUND(AVERAGEIF('Restaurant Macros'!$A$2:$A$228,A8,'Restaurant Macros'!$D$2:$D$228),0)</f>
        <v>367</v>
      </c>
      <c r="D8" s="9" t="n">
        <f aca="false">ROUND(AVERAGEIF('Restaurant Macros'!$A$2:$A$228,A8,'Restaurant Macros'!$E$2:$E$228),0)</f>
        <v>33</v>
      </c>
      <c r="E8" s="9" t="n">
        <f aca="false">ROUND(SUMPRODUCT(MAX(('Restaurant Macros'!$A$2:$A$228=A8)*'Restaurant Macros'!$K$2:$K$228)),1)</f>
        <v>19</v>
      </c>
    </row>
    <row r="9" customFormat="false" ht="15" hidden="false" customHeight="false" outlineLevel="0" collapsed="false">
      <c r="A9" s="13" t="s">
        <v>72</v>
      </c>
      <c r="B9" s="9" t="n">
        <f aca="false">COUNTIF('Restaurant Macros'!$A$2:$A$228,A9)</f>
        <v>27</v>
      </c>
      <c r="C9" s="9" t="n">
        <f aca="false">ROUND(AVERAGEIF('Restaurant Macros'!$A$2:$A$228,A9,'Restaurant Macros'!$D$2:$D$228),0)</f>
        <v>211</v>
      </c>
      <c r="D9" s="9" t="n">
        <f aca="false">ROUND(AVERAGEIF('Restaurant Macros'!$A$2:$A$228,A9,'Restaurant Macros'!$E$2:$E$228),0)</f>
        <v>13</v>
      </c>
      <c r="E9" s="9" t="n">
        <f aca="false">ROUND(SUMPRODUCT(MAX(('Restaurant Macros'!$A$2:$A$228=A9)*'Restaurant Macros'!$K$2:$K$228)),1)</f>
        <v>17.8</v>
      </c>
    </row>
    <row r="10" customFormat="false" ht="15" hidden="false" customHeight="false" outlineLevel="0" collapsed="false">
      <c r="A10" s="13" t="s">
        <v>116</v>
      </c>
      <c r="B10" s="9" t="n">
        <f aca="false">COUNTIF('Restaurant Macros'!$A$2:$A$228,A10)</f>
        <v>2</v>
      </c>
      <c r="C10" s="9" t="n">
        <f aca="false">ROUND(AVERAGEIF('Restaurant Macros'!$A$2:$A$228,A10,'Restaurant Macros'!$D$2:$D$228),0)</f>
        <v>615</v>
      </c>
      <c r="D10" s="9" t="n">
        <f aca="false">ROUND(AVERAGEIF('Restaurant Macros'!$A$2:$A$228,A10,'Restaurant Macros'!$E$2:$E$228),0)</f>
        <v>9</v>
      </c>
      <c r="E10" s="9" t="n">
        <f aca="false">ROUND(SUMPRODUCT(MAX(('Restaurant Macros'!$A$2:$A$228=A10)*'Restaurant Macros'!$K$2:$K$228)),1)</f>
        <v>1.5</v>
      </c>
    </row>
    <row r="11" customFormat="false" ht="15" hidden="false" customHeight="false" outlineLevel="0" collapsed="false">
      <c r="A11" s="13" t="s">
        <v>119</v>
      </c>
      <c r="B11" s="9" t="n">
        <f aca="false">COUNTIF('Restaurant Macros'!$A$2:$A$228,A11)</f>
        <v>2</v>
      </c>
      <c r="C11" s="9" t="n">
        <f aca="false">ROUND(AVERAGEIF('Restaurant Macros'!$A$2:$A$228,A11,'Restaurant Macros'!$D$2:$D$228),0)</f>
        <v>645</v>
      </c>
      <c r="D11" s="9" t="n">
        <f aca="false">ROUND(AVERAGEIF('Restaurant Macros'!$A$2:$A$228,A11,'Restaurant Macros'!$E$2:$E$228),0)</f>
        <v>10</v>
      </c>
      <c r="E11" s="9" t="n">
        <f aca="false">ROUND(SUMPRODUCT(MAX(('Restaurant Macros'!$A$2:$A$228=A11)*'Restaurant Macros'!$K$2:$K$228)),1)</f>
        <v>1.6</v>
      </c>
    </row>
    <row r="12" customFormat="false" ht="15" hidden="false" customHeight="false" outlineLevel="0" collapsed="false">
      <c r="A12" s="13" t="s">
        <v>124</v>
      </c>
      <c r="B12" s="9" t="n">
        <f aca="false">COUNTIF('Restaurant Macros'!$A$2:$A$228,A12)</f>
        <v>3</v>
      </c>
      <c r="C12" s="9" t="n">
        <f aca="false">ROUND(AVERAGEIF('Restaurant Macros'!$A$2:$A$228,A12,'Restaurant Macros'!$D$2:$D$228),0)</f>
        <v>537</v>
      </c>
      <c r="D12" s="9" t="n">
        <f aca="false">ROUND(AVERAGEIF('Restaurant Macros'!$A$2:$A$228,A12,'Restaurant Macros'!$E$2:$E$228),0)</f>
        <v>10</v>
      </c>
      <c r="E12" s="9" t="n">
        <f aca="false">ROUND(SUMPRODUCT(MAX(('Restaurant Macros'!$A$2:$A$228=A12)*'Restaurant Macros'!$K$2:$K$228)),1)</f>
        <v>2.4</v>
      </c>
    </row>
    <row r="13" customFormat="false" ht="15" hidden="false" customHeight="false" outlineLevel="0" collapsed="false">
      <c r="A13" s="13" t="s">
        <v>130</v>
      </c>
      <c r="B13" s="9" t="n">
        <f aca="false">COUNTIF('Restaurant Macros'!$A$2:$A$228,A13)</f>
        <v>17</v>
      </c>
      <c r="C13" s="9" t="n">
        <f aca="false">ROUND(AVERAGEIF('Restaurant Macros'!$A$2:$A$228,A13,'Restaurant Macros'!$D$2:$D$228),0)</f>
        <v>505</v>
      </c>
      <c r="D13" s="9" t="n">
        <f aca="false">ROUND(AVERAGEIF('Restaurant Macros'!$A$2:$A$228,A13,'Restaurant Macros'!$E$2:$E$228),0)</f>
        <v>23</v>
      </c>
      <c r="E13" s="9" t="n">
        <f aca="false">ROUND(SUMPRODUCT(MAX(('Restaurant Macros'!$A$2:$A$228=A13)*'Restaurant Macros'!$K$2:$K$228)),1)</f>
        <v>8.3</v>
      </c>
    </row>
    <row r="14" customFormat="false" ht="15" hidden="false" customHeight="false" outlineLevel="0" collapsed="false">
      <c r="A14" s="13" t="s">
        <v>153</v>
      </c>
      <c r="B14" s="9" t="n">
        <f aca="false">COUNTIF('Restaurant Macros'!$A$2:$A$228,A14)</f>
        <v>2</v>
      </c>
      <c r="C14" s="9" t="n">
        <f aca="false">ROUND(AVERAGEIF('Restaurant Macros'!$A$2:$A$228,A14,'Restaurant Macros'!$D$2:$D$228),0)</f>
        <v>270</v>
      </c>
      <c r="D14" s="9" t="n">
        <f aca="false">ROUND(AVERAGEIF('Restaurant Macros'!$A$2:$A$228,A14,'Restaurant Macros'!$E$2:$E$228),0)</f>
        <v>4</v>
      </c>
      <c r="E14" s="9" t="n">
        <f aca="false">ROUND(SUMPRODUCT(MAX(('Restaurant Macros'!$A$2:$A$228=A14)*'Restaurant Macros'!$K$2:$K$228)),1)</f>
        <v>1.7</v>
      </c>
    </row>
    <row r="15" customFormat="false" ht="15" hidden="false" customHeight="false" outlineLevel="0" collapsed="false">
      <c r="A15" s="13" t="s">
        <v>157</v>
      </c>
      <c r="B15" s="9" t="n">
        <f aca="false">COUNTIF('Restaurant Macros'!$A$2:$A$228,A15)</f>
        <v>15</v>
      </c>
      <c r="C15" s="9" t="n">
        <f aca="false">ROUND(AVERAGEIF('Restaurant Macros'!$A$2:$A$228,A15,'Restaurant Macros'!$D$2:$D$228),0)</f>
        <v>486</v>
      </c>
      <c r="D15" s="9" t="n">
        <f aca="false">ROUND(AVERAGEIF('Restaurant Macros'!$A$2:$A$228,A15,'Restaurant Macros'!$E$2:$E$228),0)</f>
        <v>33</v>
      </c>
      <c r="E15" s="9" t="n">
        <f aca="false">ROUND(SUMPRODUCT(MAX(('Restaurant Macros'!$A$2:$A$228=A15)*'Restaurant Macros'!$K$2:$K$228)),1)</f>
        <v>19.4</v>
      </c>
    </row>
    <row r="16" customFormat="false" ht="15" hidden="false" customHeight="false" outlineLevel="0" collapsed="false">
      <c r="A16" s="13" t="s">
        <v>181</v>
      </c>
      <c r="B16" s="9" t="n">
        <f aca="false">COUNTIF('Restaurant Macros'!$A$2:$A$228,A16)</f>
        <v>4</v>
      </c>
      <c r="C16" s="9" t="n">
        <f aca="false">ROUND(AVERAGEIF('Restaurant Macros'!$A$2:$A$228,A16,'Restaurant Macros'!$D$2:$D$228),0)</f>
        <v>575</v>
      </c>
      <c r="D16" s="9" t="n">
        <f aca="false">ROUND(AVERAGEIF('Restaurant Macros'!$A$2:$A$228,A16,'Restaurant Macros'!$E$2:$E$228),0)</f>
        <v>28</v>
      </c>
      <c r="E16" s="9" t="n">
        <f aca="false">ROUND(SUMPRODUCT(MAX(('Restaurant Macros'!$A$2:$A$228=A16)*'Restaurant Macros'!$K$2:$K$228)),1)</f>
        <v>6.3</v>
      </c>
    </row>
    <row r="17" customFormat="false" ht="15" hidden="false" customHeight="false" outlineLevel="0" collapsed="false">
      <c r="A17" s="13" t="s">
        <v>188</v>
      </c>
      <c r="B17" s="9" t="n">
        <f aca="false">COUNTIF('Restaurant Macros'!$A$2:$A$228,A17)</f>
        <v>3</v>
      </c>
      <c r="C17" s="9" t="n">
        <f aca="false">ROUND(AVERAGEIF('Restaurant Macros'!$A$2:$A$228,A17,'Restaurant Macros'!$D$2:$D$228),0)</f>
        <v>530</v>
      </c>
      <c r="D17" s="9" t="n">
        <f aca="false">ROUND(AVERAGEIF('Restaurant Macros'!$A$2:$A$228,A17,'Restaurant Macros'!$E$2:$E$228),0)</f>
        <v>26</v>
      </c>
      <c r="E17" s="9" t="n">
        <f aca="false">ROUND(SUMPRODUCT(MAX(('Restaurant Macros'!$A$2:$A$228=A17)*'Restaurant Macros'!$K$2:$K$228)),1)</f>
        <v>5.2</v>
      </c>
    </row>
    <row r="18" customFormat="false" ht="15" hidden="false" customHeight="false" outlineLevel="0" collapsed="false">
      <c r="A18" s="13" t="s">
        <v>193</v>
      </c>
      <c r="B18" s="9" t="n">
        <f aca="false">COUNTIF('Restaurant Macros'!$A$2:$A$228,A18)</f>
        <v>19</v>
      </c>
      <c r="C18" s="9" t="n">
        <f aca="false">ROUND(AVERAGEIF('Restaurant Macros'!$A$2:$A$228,A18,'Restaurant Macros'!$D$2:$D$228),0)</f>
        <v>518</v>
      </c>
      <c r="D18" s="9" t="n">
        <f aca="false">ROUND(AVERAGEIF('Restaurant Macros'!$A$2:$A$228,A18,'Restaurant Macros'!$E$2:$E$228),0)</f>
        <v>24</v>
      </c>
      <c r="E18" s="9" t="n">
        <f aca="false">ROUND(SUMPRODUCT(MAX(('Restaurant Macros'!$A$2:$A$228=A18)*'Restaurant Macros'!$K$2:$K$228)),1)</f>
        <v>7</v>
      </c>
    </row>
    <row r="19" customFormat="false" ht="15" hidden="false" customHeight="false" outlineLevel="0" collapsed="false">
      <c r="A19" s="13" t="s">
        <v>231</v>
      </c>
      <c r="B19" s="9" t="n">
        <f aca="false">COUNTIF('Restaurant Macros'!$A$2:$A$228,A19)</f>
        <v>14</v>
      </c>
      <c r="C19" s="9" t="n">
        <f aca="false">ROUND(AVERAGEIF('Restaurant Macros'!$A$2:$A$228,A19,'Restaurant Macros'!$D$2:$D$228),0)</f>
        <v>489</v>
      </c>
      <c r="D19" s="9" t="n">
        <f aca="false">ROUND(AVERAGEIF('Restaurant Macros'!$A$2:$A$228,A19,'Restaurant Macros'!$E$2:$E$228),0)</f>
        <v>24</v>
      </c>
      <c r="E19" s="9" t="n">
        <f aca="false">ROUND(SUMPRODUCT(MAX(('Restaurant Macros'!$A$2:$A$228=A19)*'Restaurant Macros'!$K$2:$K$228)),1)</f>
        <v>11.2</v>
      </c>
    </row>
    <row r="20" customFormat="false" ht="15" hidden="false" customHeight="false" outlineLevel="0" collapsed="false">
      <c r="A20" s="13" t="s">
        <v>252</v>
      </c>
      <c r="B20" s="9" t="n">
        <f aca="false">COUNTIF('Restaurant Macros'!$A$2:$A$228,A20)</f>
        <v>5</v>
      </c>
      <c r="C20" s="9" t="n">
        <f aca="false">ROUND(AVERAGEIF('Restaurant Macros'!$A$2:$A$228,A20,'Restaurant Macros'!$D$2:$D$228),0)</f>
        <v>822</v>
      </c>
      <c r="D20" s="9" t="n">
        <f aca="false">ROUND(AVERAGEIF('Restaurant Macros'!$A$2:$A$228,A20,'Restaurant Macros'!$E$2:$E$228),0)</f>
        <v>44</v>
      </c>
      <c r="E20" s="9" t="n">
        <f aca="false">ROUND(SUMPRODUCT(MAX(('Restaurant Macros'!$A$2:$A$228=A20)*'Restaurant Macros'!$K$2:$K$228)),1)</f>
        <v>6.1</v>
      </c>
    </row>
    <row r="21" customFormat="false" ht="15" hidden="false" customHeight="false" outlineLevel="0" collapsed="false">
      <c r="A21" s="13" t="s">
        <v>263</v>
      </c>
      <c r="B21" s="9" t="n">
        <f aca="false">COUNTIF('Restaurant Macros'!$A$2:$A$228,A21)</f>
        <v>5</v>
      </c>
      <c r="C21" s="9" t="n">
        <f aca="false">ROUND(AVERAGEIF('Restaurant Macros'!$A$2:$A$228,A21,'Restaurant Macros'!$D$2:$D$228),0)</f>
        <v>418</v>
      </c>
      <c r="D21" s="9" t="n">
        <f aca="false">ROUND(AVERAGEIF('Restaurant Macros'!$A$2:$A$228,A21,'Restaurant Macros'!$E$2:$E$228),0)</f>
        <v>28</v>
      </c>
      <c r="E21" s="9" t="n">
        <f aca="false">ROUND(SUMPRODUCT(MAX(('Restaurant Macros'!$A$2:$A$228=A21)*'Restaurant Macros'!$K$2:$K$228)),1)</f>
        <v>18.1</v>
      </c>
    </row>
    <row r="22" customFormat="false" ht="15" hidden="false" customHeight="false" outlineLevel="0" collapsed="false">
      <c r="A22" s="13" t="s">
        <v>270</v>
      </c>
      <c r="B22" s="9" t="n">
        <f aca="false">COUNTIF('Restaurant Macros'!$A$2:$A$228,A22)</f>
        <v>2</v>
      </c>
      <c r="C22" s="9" t="n">
        <f aca="false">ROUND(AVERAGEIF('Restaurant Macros'!$A$2:$A$228,A22,'Restaurant Macros'!$D$2:$D$228),0)</f>
        <v>215</v>
      </c>
      <c r="D22" s="9" t="n">
        <f aca="false">ROUND(AVERAGEIF('Restaurant Macros'!$A$2:$A$228,A22,'Restaurant Macros'!$E$2:$E$228),0)</f>
        <v>3</v>
      </c>
      <c r="E22" s="9" t="n">
        <f aca="false">ROUND(SUMPRODUCT(MAX(('Restaurant Macros'!$A$2:$A$228=A22)*'Restaurant Macros'!$K$2:$K$228)),1)</f>
        <v>1.6</v>
      </c>
    </row>
    <row r="23" customFormat="false" ht="15" hidden="false" customHeight="false" outlineLevel="0" collapsed="false">
      <c r="A23" s="13" t="s">
        <v>273</v>
      </c>
      <c r="B23" s="9" t="n">
        <f aca="false">COUNTIF('Restaurant Macros'!$A$2:$A$228,A23)</f>
        <v>8</v>
      </c>
      <c r="C23" s="9" t="n">
        <f aca="false">ROUND(AVERAGEIF('Restaurant Macros'!$A$2:$A$228,A23,'Restaurant Macros'!$D$2:$D$228),0)</f>
        <v>429</v>
      </c>
      <c r="D23" s="9" t="n">
        <f aca="false">ROUND(AVERAGEIF('Restaurant Macros'!$A$2:$A$228,A23,'Restaurant Macros'!$E$2:$E$228),0)</f>
        <v>21</v>
      </c>
      <c r="E23" s="9" t="n">
        <f aca="false">ROUND(SUMPRODUCT(MAX(('Restaurant Macros'!$A$2:$A$228=A23)*'Restaurant Macros'!$K$2:$K$228)),1)</f>
        <v>5.8</v>
      </c>
    </row>
    <row r="24" customFormat="false" ht="15" hidden="false" customHeight="false" outlineLevel="0" collapsed="false">
      <c r="A24" s="13" t="s">
        <v>281</v>
      </c>
      <c r="B24" s="9" t="n">
        <f aca="false">COUNTIF('Restaurant Macros'!$A$2:$A$228,A24)</f>
        <v>26</v>
      </c>
      <c r="C24" s="9" t="n">
        <f aca="false">ROUND(AVERAGEIF('Restaurant Macros'!$A$2:$A$228,A24,'Restaurant Macros'!$D$2:$D$228),0)</f>
        <v>378</v>
      </c>
      <c r="D24" s="9" t="n">
        <f aca="false">ROUND(AVERAGEIF('Restaurant Macros'!$A$2:$A$228,A24,'Restaurant Macros'!$E$2:$E$228),0)</f>
        <v>17</v>
      </c>
      <c r="E24" s="9" t="n">
        <f aca="false">ROUND(SUMPRODUCT(MAX(('Restaurant Macros'!$A$2:$A$228=A24)*'Restaurant Macros'!$K$2:$K$228)),1)</f>
        <v>12</v>
      </c>
    </row>
    <row r="25" customFormat="false" ht="15" hidden="false" customHeight="false" outlineLevel="0" collapsed="false">
      <c r="A25" s="13" t="s">
        <v>325</v>
      </c>
      <c r="B25" s="9" t="n">
        <f aca="false">COUNTIF('Restaurant Macros'!$A$2:$A$228,A25)</f>
        <v>4</v>
      </c>
      <c r="C25" s="9" t="n">
        <f aca="false">ROUND(AVERAGEIF('Restaurant Macros'!$A$2:$A$228,A25,'Restaurant Macros'!$D$2:$D$228),0)</f>
        <v>370</v>
      </c>
      <c r="D25" s="9" t="n">
        <f aca="false">ROUND(AVERAGEIF('Restaurant Macros'!$A$2:$A$228,A25,'Restaurant Macros'!$E$2:$E$228),0)</f>
        <v>25</v>
      </c>
      <c r="E25" s="9" t="n">
        <f aca="false">ROUND(SUMPRODUCT(MAX(('Restaurant Macros'!$A$2:$A$228=A25)*'Restaurant Macros'!$K$2:$K$228)),1)</f>
        <v>18.8</v>
      </c>
    </row>
    <row r="26" customFormat="false" ht="15" hidden="false" customHeight="false" outlineLevel="0" collapsed="false">
      <c r="A26" s="13" t="s">
        <v>332</v>
      </c>
      <c r="B26" s="9" t="n">
        <f aca="false">COUNTIF('Restaurant Macros'!$A$2:$A$228,A26)</f>
        <v>3</v>
      </c>
      <c r="C26" s="9" t="n">
        <f aca="false">ROUND(AVERAGEIF('Restaurant Macros'!$A$2:$A$228,A26,'Restaurant Macros'!$D$2:$D$228),0)</f>
        <v>857</v>
      </c>
      <c r="D26" s="9" t="n">
        <f aca="false">ROUND(AVERAGEIF('Restaurant Macros'!$A$2:$A$228,A26,'Restaurant Macros'!$E$2:$E$228),0)</f>
        <v>36</v>
      </c>
      <c r="E26" s="9" t="n">
        <f aca="false">ROUND(SUMPRODUCT(MAX(('Restaurant Macros'!$A$2:$A$228=A26)*'Restaurant Macros'!$K$2:$K$228)),1)</f>
        <v>9.1</v>
      </c>
    </row>
    <row r="27" customFormat="false" ht="15" hidden="false" customHeight="false" outlineLevel="0" collapsed="false">
      <c r="A27" s="13" t="s">
        <v>339</v>
      </c>
      <c r="B27" s="9" t="n">
        <f aca="false">COUNTIF('Restaurant Macros'!$A$2:$A$228,A27)</f>
        <v>3</v>
      </c>
      <c r="C27" s="9" t="n">
        <f aca="false">ROUND(AVERAGEIF('Restaurant Macros'!$A$2:$A$228,A27,'Restaurant Macros'!$D$2:$D$228),0)</f>
        <v>503</v>
      </c>
      <c r="D27" s="9" t="n">
        <f aca="false">ROUND(AVERAGEIF('Restaurant Macros'!$A$2:$A$228,A27,'Restaurant Macros'!$E$2:$E$228),0)</f>
        <v>28</v>
      </c>
      <c r="E27" s="9" t="n">
        <f aca="false">ROUND(SUMPRODUCT(MAX(('Restaurant Macros'!$A$2:$A$228=A27)*'Restaurant Macros'!$K$2:$K$228)),1)</f>
        <v>5.8</v>
      </c>
    </row>
    <row r="28" customFormat="false" ht="15" hidden="false" customHeight="false" outlineLevel="0" collapsed="false">
      <c r="A28" s="13" t="s">
        <v>342</v>
      </c>
      <c r="B28" s="9" t="n">
        <f aca="false">COUNTIF('Restaurant Macros'!$A$2:$A$228,A28)</f>
        <v>6</v>
      </c>
      <c r="C28" s="9" t="n">
        <f aca="false">ROUND(AVERAGEIF('Restaurant Macros'!$A$2:$A$228,A28,'Restaurant Macros'!$D$2:$D$228),0)</f>
        <v>238</v>
      </c>
      <c r="D28" s="9" t="n">
        <f aca="false">ROUND(AVERAGEIF('Restaurant Macros'!$A$2:$A$228,A28,'Restaurant Macros'!$E$2:$E$228),0)</f>
        <v>12</v>
      </c>
      <c r="E28" s="9" t="n">
        <f aca="false">ROUND(SUMPRODUCT(MAX(('Restaurant Macros'!$A$2:$A$228=A28)*'Restaurant Macros'!$K$2:$K$228)),1)</f>
        <v>20</v>
      </c>
    </row>
    <row r="29" customFormat="false" ht="15" hidden="false" customHeight="false" outlineLevel="0" collapsed="false">
      <c r="A29" s="13" t="s">
        <v>353</v>
      </c>
      <c r="B29" s="9" t="n">
        <f aca="false">COUNTIF('Restaurant Macros'!$A$2:$A$228,A29)</f>
        <v>5</v>
      </c>
      <c r="C29" s="9" t="n">
        <f aca="false">ROUND(AVERAGEIF('Restaurant Macros'!$A$2:$A$228,A29,'Restaurant Macros'!$D$2:$D$228),0)</f>
        <v>404</v>
      </c>
      <c r="D29" s="9" t="n">
        <f aca="false">ROUND(AVERAGEIF('Restaurant Macros'!$A$2:$A$228,A29,'Restaurant Macros'!$E$2:$E$228),0)</f>
        <v>26</v>
      </c>
      <c r="E29" s="9" t="n">
        <f aca="false">ROUND(SUMPRODUCT(MAX(('Restaurant Macros'!$A$2:$A$228=A29)*'Restaurant Macros'!$K$2:$K$228)),1)</f>
        <v>8.1</v>
      </c>
    </row>
    <row r="30" customFormat="false" ht="15" hidden="false" customHeight="false" outlineLevel="0" collapsed="false">
      <c r="A30" s="13" t="s">
        <v>363</v>
      </c>
      <c r="B30" s="9" t="n">
        <f aca="false">COUNTIF('Restaurant Macros'!$A$2:$A$228,A30)</f>
        <v>3</v>
      </c>
      <c r="C30" s="9" t="n">
        <f aca="false">ROUND(AVERAGEIF('Restaurant Macros'!$A$2:$A$228,A30,'Restaurant Macros'!$D$2:$D$228),0)</f>
        <v>677</v>
      </c>
      <c r="D30" s="9" t="n">
        <f aca="false">ROUND(AVERAGEIF('Restaurant Macros'!$A$2:$A$228,A30,'Restaurant Macros'!$E$2:$E$228),0)</f>
        <v>29</v>
      </c>
      <c r="E30" s="9" t="n">
        <f aca="false">ROUND(SUMPRODUCT(MAX(('Restaurant Macros'!$A$2:$A$228=A30)*'Restaurant Macros'!$K$2:$K$228)),1)</f>
        <v>5.9</v>
      </c>
    </row>
    <row r="31" customFormat="false" ht="15" hidden="false" customHeight="false" outlineLevel="0" collapsed="false">
      <c r="A31" s="13" t="s">
        <v>369</v>
      </c>
      <c r="B31" s="9" t="n">
        <f aca="false">COUNTIF('Restaurant Macros'!$A$2:$A$228,A31)</f>
        <v>6</v>
      </c>
      <c r="C31" s="9" t="n">
        <f aca="false">ROUND(AVERAGEIF('Restaurant Macros'!$A$2:$A$228,A31,'Restaurant Macros'!$D$2:$D$228),0)</f>
        <v>393</v>
      </c>
      <c r="D31" s="9" t="n">
        <f aca="false">ROUND(AVERAGEIF('Restaurant Macros'!$A$2:$A$228,A31,'Restaurant Macros'!$E$2:$E$228),0)</f>
        <v>18</v>
      </c>
      <c r="E31" s="9" t="n">
        <f aca="false">ROUND(SUMPRODUCT(MAX(('Restaurant Macros'!$A$2:$A$228=A31)*'Restaurant Macros'!$K$2:$K$228)),1)</f>
        <v>5.9</v>
      </c>
    </row>
    <row r="32" customFormat="false" ht="15" hidden="false" customHeight="false" outlineLevel="0" collapsed="false">
      <c r="A32" s="13" t="s">
        <v>377</v>
      </c>
      <c r="B32" s="9" t="n">
        <f aca="false">COUNTIF('Restaurant Macros'!$A$2:$A$228,A32)</f>
        <v>4</v>
      </c>
      <c r="C32" s="9" t="n">
        <f aca="false">ROUND(AVERAGEIF('Restaurant Macros'!$A$2:$A$228,A32,'Restaurant Macros'!$D$2:$D$228),0)</f>
        <v>578</v>
      </c>
      <c r="D32" s="9" t="n">
        <f aca="false">ROUND(AVERAGEIF('Restaurant Macros'!$A$2:$A$228,A32,'Restaurant Macros'!$E$2:$E$228),0)</f>
        <v>31</v>
      </c>
      <c r="E32" s="9" t="n">
        <f aca="false">ROUND(SUMPRODUCT(MAX(('Restaurant Macros'!$A$2:$A$228=A32)*'Restaurant Macros'!$K$2:$K$228)),1)</f>
        <v>6.5</v>
      </c>
    </row>
    <row r="33" customFormat="false" ht="15" hidden="false" customHeight="false" outlineLevel="0" collapsed="false">
      <c r="A33" s="13" t="s">
        <v>385</v>
      </c>
      <c r="B33" s="9" t="n">
        <f aca="false">COUNTIF('Restaurant Macros'!$A$2:$A$228,A33)</f>
        <v>7</v>
      </c>
      <c r="C33" s="9" t="n">
        <f aca="false">ROUND(AVERAGEIF('Restaurant Macros'!$A$2:$A$228,A33,'Restaurant Macros'!$D$2:$D$228),0)</f>
        <v>506</v>
      </c>
      <c r="D33" s="9" t="n">
        <f aca="false">ROUND(AVERAGEIF('Restaurant Macros'!$A$2:$A$228,A33,'Restaurant Macros'!$E$2:$E$228),0)</f>
        <v>32</v>
      </c>
      <c r="E33" s="9" t="n">
        <f aca="false">ROUND(SUMPRODUCT(MAX(('Restaurant Macros'!$A$2:$A$228=A33)*'Restaurant Macros'!$K$2:$K$228)),1)</f>
        <v>9.2</v>
      </c>
    </row>
    <row r="34" customFormat="false" ht="15" hidden="false" customHeight="false" outlineLevel="0" collapsed="false">
      <c r="A34" s="13" t="s">
        <v>394</v>
      </c>
      <c r="B34" s="9" t="n">
        <f aca="false">COUNTIF('Restaurant Macros'!$A$2:$A$228,A34)</f>
        <v>3</v>
      </c>
      <c r="C34" s="9" t="n">
        <f aca="false">ROUND(AVERAGEIF('Restaurant Macros'!$A$2:$A$228,A34,'Restaurant Macros'!$D$2:$D$228),0)</f>
        <v>433</v>
      </c>
      <c r="D34" s="9" t="n">
        <f aca="false">ROUND(AVERAGEIF('Restaurant Macros'!$A$2:$A$228,A34,'Restaurant Macros'!$E$2:$E$228),0)</f>
        <v>33</v>
      </c>
      <c r="E34" s="9" t="n">
        <f aca="false">ROUND(SUMPRODUCT(MAX(('Restaurant Macros'!$A$2:$A$228=A34)*'Restaurant Macros'!$K$2:$K$228)),1)</f>
        <v>9.8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2026-06-25T07:25:02Z</dcterms:created>
  <dc:creator>openpyxl</dc:creator>
  <dc:description/>
  <dc:language>en-US</dc:language>
  <cp:lastModifiedBy/>
  <dcterms:modified xsi:type="dcterms:W3CDTF">2026-06-25T07:36:23Z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